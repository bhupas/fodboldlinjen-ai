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ularsvar 1" sheetId="1" r:id="rId4"/>
    <sheet state="visible" name="HOLD DATA" sheetId="2" r:id="rId5"/>
    <sheet state="visible" name="U17" sheetId="3" r:id="rId6"/>
    <sheet state="visible" name="U18" sheetId="4" r:id="rId7"/>
    <sheet state="visible" name="U19" sheetId="5" r:id="rId8"/>
    <sheet state="visible" name="UCS10" sheetId="6" r:id="rId9"/>
  </sheets>
  <definedNames/>
  <calcPr/>
</workbook>
</file>

<file path=xl/sharedStrings.xml><?xml version="1.0" encoding="utf-8"?>
<sst xmlns="http://schemas.openxmlformats.org/spreadsheetml/2006/main" count="405" uniqueCount="240">
  <si>
    <t>Tidsstempel</t>
  </si>
  <si>
    <t>Kamp - Hvilket hold spillede du for</t>
  </si>
  <si>
    <t>Modstanderen (hvem spillede du mod)</t>
  </si>
  <si>
    <t>Navn (fulde navn)</t>
  </si>
  <si>
    <t>#Succesfulde pasninger /indlæg</t>
  </si>
  <si>
    <t>#Total pasninger/indlæg (Succesfulde + ikke succesfulde)</t>
  </si>
  <si>
    <t>#Total afslutninger</t>
  </si>
  <si>
    <t>#Succesfulde erobringer på EGEN bane</t>
  </si>
  <si>
    <t>#Succesfulde erobringer på DERES bane</t>
  </si>
  <si>
    <t>#Total succesfulde erobringer (EGEN + DERES bane)</t>
  </si>
  <si>
    <t>Hvad vil du gøre bedre i næste kamp ?</t>
  </si>
  <si>
    <t>U17 Liga Fodboldlinjen</t>
  </si>
  <si>
    <t>Aab</t>
  </si>
  <si>
    <t>Malthe Lee Ludvig</t>
  </si>
  <si>
    <t>Skal ramme LANGT flere pasninger, være mere kynisk, sidde bedre i mit pres og være mere forberedt når jeg modtager bolden</t>
  </si>
  <si>
    <t xml:space="preserve">Aab </t>
  </si>
  <si>
    <t>William Kaastrup</t>
  </si>
  <si>
    <t>Bedre pres, flere skud</t>
  </si>
  <si>
    <t>AAB</t>
  </si>
  <si>
    <t>Jonas Eskesen</t>
  </si>
  <si>
    <t>Spille hurtigere. Bedre retur løb. Snakke mere</t>
  </si>
  <si>
    <t>Jonas Brændstrup Pedersen</t>
  </si>
  <si>
    <t xml:space="preserve">Bedre pres </t>
  </si>
  <si>
    <t xml:space="preserve">AaB </t>
  </si>
  <si>
    <t xml:space="preserve">Jacob Birch Hansen </t>
  </si>
  <si>
    <t>Jeg vil gerne blive mere offensivt farlig om det så er assist eller mål</t>
  </si>
  <si>
    <t xml:space="preserve">Kevin Stenkjær Leed </t>
  </si>
  <si>
    <t>Være mere involveret i spillet og være mere agressiv efter score mål</t>
  </si>
  <si>
    <t>Aab liga 1</t>
  </si>
  <si>
    <t>Mikkel Bank Hasager</t>
  </si>
  <si>
    <t>Hurtigere af med bolden, huske at følge min mand selvom han er på deres vane halvdel</t>
  </si>
  <si>
    <t xml:space="preserve">Lucas Elkjær </t>
  </si>
  <si>
    <t xml:space="preserve">Kig mere frem af og diager noget mere </t>
  </si>
  <si>
    <t>M Hamza Ghannam</t>
  </si>
  <si>
    <t>Spil præcis som jeg for at vide og kom til flere chance. Og self, stadig en ide om det jeg har skrevet føre</t>
  </si>
  <si>
    <t>Alessandro Kristian Maizza</t>
  </si>
  <si>
    <t xml:space="preserve">Holde fokus fra start til slut, mere lyd, og positionering </t>
  </si>
  <si>
    <t>AaB</t>
  </si>
  <si>
    <t>Patrick Damsgaard</t>
  </si>
  <si>
    <t>Mere lyd på, mere tempo i spillet, mere præcision i afleveringerne</t>
  </si>
  <si>
    <t xml:space="preserve">Frederik Munk Zacho </t>
  </si>
  <si>
    <t>Jeg vil stadigvæk gerne have flere erobringer og mere på bolden, men jeg synes jeg formår den her gang at presse så vi får bolden, som jeg ikke var særlig god til sidst</t>
  </si>
  <si>
    <t xml:space="preserve">Sebastian Christensen </t>
  </si>
  <si>
    <t xml:space="preserve">Udfordringer, mere kynisk </t>
  </si>
  <si>
    <t>aab</t>
  </si>
  <si>
    <t>Adam Baumgartner Baden</t>
  </si>
  <si>
    <t xml:space="preserve">Få mere lyd på og være mere agressiv både på banen men også mere agressiv for at score </t>
  </si>
  <si>
    <t xml:space="preserve">Sander Sponholtz </t>
  </si>
  <si>
    <t>Lave en assist eller eventuelt et mål</t>
  </si>
  <si>
    <t>Leon Maxharraj</t>
  </si>
  <si>
    <t>7 ud af 7 succesfulde</t>
  </si>
  <si>
    <t>Jeg vil gerne få flere pasninger og skud på mål</t>
  </si>
  <si>
    <t xml:space="preserve">Pelle Lynge Frølund </t>
  </si>
  <si>
    <t xml:space="preserve">Det samme som i sidste kamp. Finde flere rum centralt og spille mere fremad. </t>
  </si>
  <si>
    <t>Benjamin Adilovic</t>
  </si>
  <si>
    <t>Focus mere på at dæmpe modstanderens angreb så mit hold kan komme hjem. Søge bolden mere.</t>
  </si>
  <si>
    <t>Randers</t>
  </si>
  <si>
    <t>Være bedre til håndtere mig. Kom bedre med frem i banen</t>
  </si>
  <si>
    <t>Ramme flere afleveringer, sidde hårdere i mit press og være mere kynisk</t>
  </si>
  <si>
    <t xml:space="preserve">Alessandro Kristian Maizza </t>
  </si>
  <si>
    <t>Skyde mere på mål, få bolden vendt over i den anden side (fase 2) og være klar fra start</t>
  </si>
  <si>
    <t>Randers Fc</t>
  </si>
  <si>
    <t>Frederik Munk Zacho</t>
  </si>
  <si>
    <t>3-4</t>
  </si>
  <si>
    <t>4-5</t>
  </si>
  <si>
    <t xml:space="preserve">Jeg vil have bolden mere, bruge mere lyd især i presset og så score på mine afslutninger </t>
  </si>
  <si>
    <t>Mere mål farlig om det er at lave assist eller mål</t>
  </si>
  <si>
    <t>oliver rumann mandrup</t>
  </si>
  <si>
    <t>jeg bliver for passiv og låst så skal bevæge mig noget mere rundt på banen og få bolden mere + søge evt ned i banen for at få bolden og så rammer bedre afslutninger</t>
  </si>
  <si>
    <t>Randers Freja</t>
  </si>
  <si>
    <t xml:space="preserve">Jonas Brændstrup Pedersen </t>
  </si>
  <si>
    <t>Bede om bolden mere i løb</t>
  </si>
  <si>
    <t xml:space="preserve">Randers </t>
  </si>
  <si>
    <t>Kamp til chance mere ved at udnytte fase 2 og løb op som en af de 5 mand i boksen</t>
  </si>
  <si>
    <t>mere lyd på, komme med frem i banen, mere præcision i afleveringerne.</t>
  </si>
  <si>
    <t xml:space="preserve">Randers freja </t>
  </si>
  <si>
    <t xml:space="preserve">William kaastrup </t>
  </si>
  <si>
    <t>Ramme mine afleveringer, bedre pres</t>
  </si>
  <si>
    <t xml:space="preserve">Randers Freja </t>
  </si>
  <si>
    <t xml:space="preserve">Flere afslutninger </t>
  </si>
  <si>
    <t xml:space="preserve">Ik brok mig. Vær mere klar når de vender sig </t>
  </si>
  <si>
    <t xml:space="preserve">Adam Baumgartner Baden </t>
  </si>
  <si>
    <t>Jeg vil gerne gå ind i bolden med 110% og så også gerne score et mål</t>
  </si>
  <si>
    <t xml:space="preserve">Jeg vil være bedre til at bevare overblikket i fase 2 - altså det her med at når jeg får den i mellemrum at jeg så vender ind over banen i stedet for ud imod sidelinjen.  </t>
  </si>
  <si>
    <t>Kevin Stenkjær Leed</t>
  </si>
  <si>
    <t>Mere mål farlig, og kommunikere mere</t>
  </si>
  <si>
    <t>18 succesfulde og 4 ikke succesfuld</t>
  </si>
  <si>
    <t xml:space="preserve">Flere erobringer på egne bane og ders bane </t>
  </si>
  <si>
    <t>⚽️EROBRINGSSPIL: Hvordan erobres bolden ?</t>
  </si>
  <si>
    <t>⚽️AFSLUTNINGSSPIL: 2. assist fra</t>
  </si>
  <si>
    <t>Mål DE</t>
  </si>
  <si>
    <t>1.Pres</t>
  </si>
  <si>
    <t>2.Pres</t>
  </si>
  <si>
    <t>SV</t>
  </si>
  <si>
    <t>HV</t>
  </si>
  <si>
    <t>M</t>
  </si>
  <si>
    <t>HH</t>
  </si>
  <si>
    <t>SH</t>
  </si>
  <si>
    <t>VI &gt; DE</t>
  </si>
  <si>
    <t>Dødbolde</t>
  </si>
  <si>
    <t>Forsvar mål</t>
  </si>
  <si>
    <t>Godt mål</t>
  </si>
  <si>
    <t>UCS10</t>
  </si>
  <si>
    <t>U17</t>
  </si>
  <si>
    <t>U18</t>
  </si>
  <si>
    <t>U19</t>
  </si>
  <si>
    <t>⚽️AFSLUTNINGSSPIL: Assist fra</t>
  </si>
  <si>
    <t>⚽️EROBRINGSSPIL:</t>
  </si>
  <si>
    <t>Hvor erobres bolden på DERES bane</t>
  </si>
  <si>
    <t>1.gang</t>
  </si>
  <si>
    <t>2.gang</t>
  </si>
  <si>
    <t>⚽️Antal spillere på modstanderens bane ved Erobring</t>
  </si>
  <si>
    <t>⚽️AFSLUTNINGSSPIL: Scoring</t>
  </si>
  <si>
    <t>Mål</t>
  </si>
  <si>
    <t>Assist</t>
  </si>
  <si>
    <t>2. Assist</t>
  </si>
  <si>
    <t>Hamza</t>
  </si>
  <si>
    <t>Zacho</t>
  </si>
  <si>
    <t>Brændstrup</t>
  </si>
  <si>
    <t>Mo</t>
  </si>
  <si>
    <t>Seb</t>
  </si>
  <si>
    <t>Ahmad</t>
  </si>
  <si>
    <t>Kev</t>
  </si>
  <si>
    <t>Thomsen</t>
  </si>
  <si>
    <t>Mandrup</t>
  </si>
  <si>
    <t>Dam</t>
  </si>
  <si>
    <t>Alo</t>
  </si>
  <si>
    <t>Mik</t>
  </si>
  <si>
    <t>Willi</t>
  </si>
  <si>
    <t>Malte</t>
  </si>
  <si>
    <t>Hansen</t>
  </si>
  <si>
    <t>Ravn</t>
  </si>
  <si>
    <t>Ludvig</t>
  </si>
  <si>
    <t>Bastian</t>
  </si>
  <si>
    <t>Bunton</t>
  </si>
  <si>
    <t>Eske</t>
  </si>
  <si>
    <t>Bojer</t>
  </si>
  <si>
    <t>Leon</t>
  </si>
  <si>
    <t>Smith</t>
  </si>
  <si>
    <t>Frost</t>
  </si>
  <si>
    <t>VI</t>
  </si>
  <si>
    <t>DE</t>
  </si>
  <si>
    <t>AFSLUT</t>
  </si>
  <si>
    <t>AFSLUT effektivitet %</t>
  </si>
  <si>
    <t>PAS</t>
  </si>
  <si>
    <t>EROBRE</t>
  </si>
  <si>
    <t>EROBRE - HØJT</t>
  </si>
  <si>
    <t>Næsby</t>
  </si>
  <si>
    <t>Være bedre til at vende spillet. Være bedre til at gøre mig fri for forsvaret</t>
  </si>
  <si>
    <t>Bedre fart og præcision i afleveringer + Mere løbearbejde</t>
  </si>
  <si>
    <t xml:space="preserve">Til næste kamp vil jeg fokusere på at være mere aggressiv og hurtigere i mit pres på boldholderen. Derudover vil jeg forsøge at komme mere frem i banen og skab chancer, selvom jeg spiller 6’er.  Jeg vil også til sidst, ikke tænke for meget midt game og spille mere flow. </t>
  </si>
  <si>
    <t xml:space="preserve">Lucas Elkjær frederiksen </t>
  </si>
  <si>
    <t xml:space="preserve">Kig mere fremad i mit spil. For spiller for nemt i stedet for at kig fremad  og diager noget mere på banen </t>
  </si>
  <si>
    <t xml:space="preserve">Være lidt mer eiffensiv og få endnu flere succesfulde erobringer og afleveringer </t>
  </si>
  <si>
    <t>Være med i presset hver gang  og få bolden mere for at kunne sætte folk op til chancer og få nogen afslutninger</t>
  </si>
  <si>
    <t>Oliver Rumann Mandrup</t>
  </si>
  <si>
    <t xml:space="preserve">Jeg ville gerne have bolden noget mere = flere afleveringer og indlæg. Så ville jeg kalde på bolden meget mere og bruge mere lyd inde på banen og enlig gerne erobre bolden noget mere på begge baner </t>
  </si>
  <si>
    <t xml:space="preserve">positionering, pasninger, løb ind i banen for hold kammerater, heade til bold, erobre i anden bane del, gode pasnings beslutninger, første gangs afleveringer, </t>
  </si>
  <si>
    <t xml:space="preserve">Flere afslutninger og færre dårlige pasninger </t>
  </si>
  <si>
    <t>Sebastian Abildskov Christensen</t>
  </si>
  <si>
    <t xml:space="preserve">kynisk i slutspil, mere bevægelig med og uden bold  </t>
  </si>
  <si>
    <t>Malthe lee ludvig</t>
  </si>
  <si>
    <t>Jeg vil gerne være bedre i mit press, bedre tilbageløb og tage mere ansvar</t>
  </si>
  <si>
    <t>William Finn Kaastrup kilsgaard</t>
  </si>
  <si>
    <t>Bedre og hurtigere pres, og bedre positionering.</t>
  </si>
  <si>
    <t>Flere erobringer, og tag bedre beslutninger og hurtigere beslutninger.</t>
  </si>
  <si>
    <t>Jeg vil have mange flere erobringer og så vil jeg have bolden mere. De målsætninger vil jeg fokusere på fremadrettet ind til jeg er tilfreds</t>
  </si>
  <si>
    <t>Pelle Lynge frølund</t>
  </si>
  <si>
    <t xml:space="preserve">Jeg vil søge mere ud i de frie rum der især var på siderne i kampen mod Næsby, men også de rum der opstår i opbygningen. </t>
  </si>
  <si>
    <t>Patrick Alexander Damsgaard Sørensen</t>
  </si>
  <si>
    <t>Mine afleverninger skal sidde bedre, jeg skal ikke give så mange bolde væk.  Jeg skal positionere mig bedre.  jeg skal tage trækket forbi det første pres. og så skal jeg snakke mere</t>
  </si>
  <si>
    <t>Orientering uden og med bold, Positionering, lyd og løb uden bold.</t>
  </si>
  <si>
    <t>Blev bedre til at få bolden ret vendt</t>
  </si>
  <si>
    <t>Jeg vil kræve bolden mere. Derudover synes jeg ikke alt lykkedes for mig i dag, og det vil jeg sørge for det bliver i de næste kampe, for det var ikke godt nok i dag synes jeg desværre, men det er mit mål for næste kamp</t>
  </si>
  <si>
    <t>Mine afleveringer skal sidde bedre, jeg smider alt for mange bolde. Tage skridtet forbi det første pres. mere lyd og bedre positionering. mere tempo i mit spil.</t>
  </si>
  <si>
    <t xml:space="preserve">Jeg skal have bolden meget mere </t>
  </si>
  <si>
    <t>Sander sponholtz</t>
  </si>
  <si>
    <t>Flere afslutninger og drive bolden lidt mere</t>
  </si>
  <si>
    <t>Alexander Falkenberg</t>
  </si>
  <si>
    <t>Få mine aflevering til at sidde bedre og komme noget mere med frem og deltage i spillet</t>
  </si>
  <si>
    <t>Bede mere efter bolden, og have mere præcision i afleveringer.</t>
  </si>
  <si>
    <t>Adam baumgartner baden</t>
  </si>
  <si>
    <t>spille mere sikkert og flere succefulde afleveringer og spille mere fremad</t>
  </si>
  <si>
    <t>Oliver Rumann mandrup</t>
  </si>
  <si>
    <t>Gå hårdere ind i taklingerne - få bolden mere og flere afleveringen - bedre beslutninger - løbe mere og ikke stå stille når bolden er i spil - første berøring- kalde på bolden mere og mere lyd på banen</t>
  </si>
  <si>
    <t>Være mere på bolden og blive mere mål farlig, jeg ville også blive bedre til kommunikation, både for at hjælpe de andre, men også for at holde mig selv inde i kampen.</t>
  </si>
  <si>
    <t>mere involveret og mere på bolden</t>
  </si>
  <si>
    <t>Bedre pres, flere løb, bedre på bolden og bedre beslutninger med bolden</t>
  </si>
  <si>
    <t>Jeg vil holde bedre på bolden og spille mere fremad</t>
  </si>
  <si>
    <t xml:space="preserve">Holde fokus, hvis jeg laver noget dårligt og så skal jeg være mere tændt </t>
  </si>
  <si>
    <t xml:space="preserve">Samme som sidst, måske os bare turde at udfordre i nogle momenter mid game. </t>
  </si>
  <si>
    <t>malthe bundgaard lambek</t>
  </si>
  <si>
    <t>Skubbe bedre op på min mand, læse vores opspil bedre</t>
  </si>
  <si>
    <t xml:space="preserve">Christian Sejrsen </t>
  </si>
  <si>
    <t xml:space="preserve">Returløb </t>
  </si>
  <si>
    <t xml:space="preserve">William Hjorth Fulgsang Bertelsen </t>
  </si>
  <si>
    <t xml:space="preserve">tilbyde mig mere </t>
  </si>
  <si>
    <t xml:space="preserve">Musawer Malikzai </t>
  </si>
  <si>
    <t xml:space="preserve">Flere eruprimgrr og bedre på bold </t>
  </si>
  <si>
    <t>Osvald Folke Andersen</t>
  </si>
  <si>
    <t xml:space="preserve">Når jeg vender op i banen at se modsat evt. diagonal, generelt bedre pasninger, og hårdere i dueller </t>
  </si>
  <si>
    <t xml:space="preserve">Sebastian Lylloff Nissen </t>
  </si>
  <si>
    <t>Jeg vil gerne komme til flere afslutninger selv</t>
  </si>
  <si>
    <t>Noah Dagø</t>
  </si>
  <si>
    <t>Gøre mig mere spilbar</t>
  </si>
  <si>
    <t>Villads Hartung Damsgaard</t>
  </si>
  <si>
    <t>tættere på min mand og komme mere med op</t>
  </si>
  <si>
    <t>Silas Betak</t>
  </si>
  <si>
    <t>scorer på mine chancer og afslute i balandse</t>
  </si>
  <si>
    <t>Birk jeppesen</t>
  </si>
  <si>
    <t>Være bedre til at reagere efter egen aktion. F.eks at falde hurtigere under bolden ved sideskift</t>
  </si>
  <si>
    <t xml:space="preserve">Marcus Borup Nygaard </t>
  </si>
  <si>
    <t xml:space="preserve">bedre kvalitet på pasning og mere fokus i hvordan jeg lægger midt pres </t>
  </si>
  <si>
    <t>Vinding</t>
  </si>
  <si>
    <t>Gustav Bojer Søndergaard</t>
  </si>
  <si>
    <t>Spille mere direkte i nogle situationer</t>
  </si>
  <si>
    <t>Haderslev</t>
  </si>
  <si>
    <t>Oliver Meyer</t>
  </si>
  <si>
    <t>Jeg vil være bedre til at finde rum, hvor jeg kan blive retvendt mod mål</t>
  </si>
  <si>
    <t>Mads Zacho</t>
  </si>
  <si>
    <t>Jeg skal arbejde hårdere og komme til flere chancer</t>
  </si>
  <si>
    <t>Emil Bech Andersen</t>
  </si>
  <si>
    <t xml:space="preserve">være mere aggressiv og mere løbevilje </t>
  </si>
  <si>
    <t>Sofus Bryder</t>
  </si>
  <si>
    <t xml:space="preserve">være bedre til at positionere mig i presspillet </t>
  </si>
  <si>
    <t>Tobias Boye Sørensen</t>
  </si>
  <si>
    <t>1v1 defensivt</t>
  </si>
  <si>
    <t>Marcus Smith</t>
  </si>
  <si>
    <t xml:space="preserve">Vil gerne komme til flere indlæg </t>
  </si>
  <si>
    <t>Være spilbar oftere</t>
  </si>
  <si>
    <t>Oscar Noa Boeriis Hjortnæs</t>
  </si>
  <si>
    <t>Kig og spille mere frem af, og bedre til at forsvar under mål:)</t>
  </si>
  <si>
    <t>Phillip Alexander Jonasson</t>
  </si>
  <si>
    <t>Få mere lyd på.</t>
  </si>
  <si>
    <t xml:space="preserve">Mohamed Alidahir </t>
  </si>
  <si>
    <t xml:space="preserve">Være mere en del af kampen og få flere pasninger </t>
  </si>
  <si>
    <t>Ahmad Alraslan</t>
  </si>
  <si>
    <t xml:space="preserve">kom til flere afslutninger og flere succesfulde passinger </t>
  </si>
  <si>
    <t>Nikolai Dam</t>
  </si>
  <si>
    <t xml:space="preserve">jeg vil være bedre til at komme hurtigere ned under bolden og forsvar.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</si>
</sst>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b/>
      <color theme="1"/>
      <name val="Yanone Kaffeesatz"/>
    </font>
    <font>
      <color theme="1"/>
      <name val="Yanone Kaffeesatz"/>
    </font>
    <font>
      <color theme="1"/>
      <name val="Arial"/>
    </font>
    <font>
      <b/>
      <color theme="1"/>
      <name val="Arial"/>
      <scheme val="minor"/>
    </font>
  </fonts>
  <fills count="5">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s>
  <borders count="14">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quotePrefix="1" borderId="8"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xf borderId="0" fillId="0" fontId="2" numFmtId="0" xfId="0" applyAlignment="1" applyFont="1">
      <alignment readingOrder="0" vertical="bottom"/>
    </xf>
    <xf borderId="0" fillId="0" fontId="3" numFmtId="0" xfId="0" applyFont="1"/>
    <xf borderId="0" fillId="0" fontId="3" numFmtId="0" xfId="0" applyAlignment="1" applyFont="1">
      <alignment vertical="bottom"/>
    </xf>
    <xf borderId="0" fillId="0" fontId="4" numFmtId="0" xfId="0" applyAlignment="1" applyFont="1">
      <alignment vertical="bottom"/>
    </xf>
    <xf borderId="0" fillId="0" fontId="2" numFmtId="0" xfId="0" applyAlignment="1" applyFont="1">
      <alignment horizontal="center" vertical="bottom"/>
    </xf>
    <xf borderId="0" fillId="0" fontId="3" numFmtId="0" xfId="0" applyAlignment="1" applyFont="1">
      <alignment horizontal="center" vertical="bottom"/>
    </xf>
    <xf borderId="13" fillId="2" fontId="2" numFmtId="0" xfId="0" applyAlignment="1" applyBorder="1" applyFill="1" applyFont="1">
      <alignment vertical="bottom"/>
    </xf>
    <xf borderId="13" fillId="0" fontId="2" numFmtId="0" xfId="0" applyAlignment="1" applyBorder="1" applyFont="1">
      <alignment readingOrder="0" vertical="bottom"/>
    </xf>
    <xf borderId="13" fillId="3" fontId="2" numFmtId="0" xfId="0" applyAlignment="1" applyBorder="1" applyFill="1" applyFont="1">
      <alignment horizontal="center" vertical="bottom"/>
    </xf>
    <xf borderId="13" fillId="3" fontId="3" numFmtId="0" xfId="0" applyAlignment="1" applyBorder="1" applyFont="1">
      <alignment horizontal="center" vertical="bottom"/>
    </xf>
    <xf borderId="0" fillId="0" fontId="3" numFmtId="0" xfId="0" applyAlignment="1" applyFont="1">
      <alignment horizontal="right" vertical="bottom"/>
    </xf>
    <xf borderId="13" fillId="4" fontId="3" numFmtId="0" xfId="0" applyAlignment="1" applyBorder="1" applyFill="1" applyFont="1">
      <alignment horizontal="center" vertical="bottom"/>
    </xf>
    <xf borderId="13" fillId="2" fontId="2" numFmtId="0" xfId="0" applyAlignment="1" applyBorder="1" applyFont="1">
      <alignment readingOrder="0" vertical="bottom"/>
    </xf>
    <xf borderId="13" fillId="3" fontId="3" numFmtId="0" xfId="0" applyAlignment="1" applyBorder="1" applyFont="1">
      <alignment horizontal="center"/>
    </xf>
    <xf borderId="13" fillId="3" fontId="3" numFmtId="0" xfId="0" applyAlignment="1" applyBorder="1" applyFont="1">
      <alignment horizontal="center" readingOrder="0" vertical="bottom"/>
    </xf>
    <xf borderId="13" fillId="4" fontId="3" numFmtId="0" xfId="0" applyAlignment="1" applyBorder="1" applyFont="1">
      <alignment horizontal="center" readingOrder="0" vertical="bottom"/>
    </xf>
    <xf borderId="0" fillId="0" fontId="3" numFmtId="0" xfId="0" applyAlignment="1" applyFont="1">
      <alignment horizontal="center" readingOrder="0" vertical="bottom"/>
    </xf>
    <xf borderId="13" fillId="3" fontId="3" numFmtId="0" xfId="0" applyAlignment="1" applyBorder="1" applyFont="1">
      <alignment horizontal="center" readingOrder="0"/>
    </xf>
    <xf borderId="0" fillId="0" fontId="2" numFmtId="0" xfId="0" applyAlignment="1" applyFont="1">
      <alignment vertical="bottom"/>
    </xf>
    <xf borderId="0" fillId="0" fontId="3" numFmtId="0" xfId="0" applyAlignment="1" applyFont="1">
      <alignment readingOrder="0" vertical="bottom"/>
    </xf>
    <xf borderId="13" fillId="4" fontId="3" numFmtId="0" xfId="0" applyAlignment="1" applyBorder="1" applyFont="1">
      <alignment vertical="bottom"/>
    </xf>
    <xf borderId="0" fillId="0" fontId="2" numFmtId="0" xfId="0" applyAlignment="1" applyFont="1">
      <alignment horizontal="center" readingOrder="0"/>
    </xf>
    <xf borderId="0" fillId="3" fontId="3" numFmtId="0" xfId="0" applyAlignment="1" applyFont="1">
      <alignment horizontal="center" readingOrder="0" vertical="bottom"/>
    </xf>
    <xf borderId="13" fillId="0" fontId="2" numFmtId="0" xfId="0" applyAlignment="1" applyBorder="1" applyFont="1">
      <alignment horizontal="center" vertical="bottom"/>
    </xf>
    <xf borderId="13" fillId="0" fontId="3" numFmtId="0" xfId="0" applyAlignment="1" applyBorder="1" applyFont="1">
      <alignment horizontal="center" vertical="bottom"/>
    </xf>
    <xf borderId="13" fillId="0" fontId="3" numFmtId="0" xfId="0" applyAlignment="1" applyBorder="1" applyFont="1">
      <alignment horizontal="center"/>
    </xf>
    <xf borderId="13" fillId="0" fontId="3" numFmtId="0" xfId="0" applyAlignment="1" applyBorder="1" applyFont="1">
      <alignment horizontal="center" readingOrder="0"/>
    </xf>
    <xf borderId="0" fillId="3" fontId="2" numFmtId="0" xfId="0" applyAlignment="1" applyFont="1">
      <alignment readingOrder="0"/>
    </xf>
    <xf borderId="0" fillId="0" fontId="3" numFmtId="0" xfId="0" applyAlignment="1" applyFont="1">
      <alignment readingOrder="0"/>
    </xf>
    <xf borderId="0" fillId="0" fontId="3"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left" readingOrder="0"/>
    </xf>
    <xf borderId="0" fillId="0" fontId="3" numFmtId="0" xfId="0" applyAlignment="1" applyFont="1">
      <alignment horizontal="left"/>
    </xf>
    <xf borderId="0" fillId="0" fontId="2" numFmtId="0" xfId="0" applyAlignment="1" applyFont="1">
      <alignment readingOrder="0"/>
    </xf>
    <xf borderId="0" fillId="0" fontId="5"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3" numFmtId="1" xfId="0" applyAlignment="1" applyFont="1" applyNumberFormat="1">
      <alignment horizontal="center" readingOrder="0"/>
    </xf>
    <xf borderId="0" fillId="0" fontId="1" numFmtId="0" xfId="0" applyAlignment="1" applyFont="1">
      <alignment readingOrder="0"/>
    </xf>
    <xf borderId="0" fillId="0" fontId="1" numFmtId="0" xfId="0" applyFont="1"/>
    <xf borderId="4"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0" fillId="0" fontId="1" numFmtId="0" xfId="0" applyAlignment="1" applyFont="1">
      <alignment horizontal="center"/>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7">
    <tableStyle count="3" pivot="0" name="Formularsvar 1-style">
      <tableStyleElement dxfId="1" type="headerRow"/>
      <tableStyleElement dxfId="2" type="firstRowStripe"/>
      <tableStyleElement dxfId="3" type="secondRowStripe"/>
    </tableStyle>
    <tableStyle count="3" pivot="0" name="U17-style">
      <tableStyleElement dxfId="1" type="headerRow"/>
      <tableStyleElement dxfId="2" type="firstRowStripe"/>
      <tableStyleElement dxfId="3" type="secondRowStripe"/>
    </tableStyle>
    <tableStyle count="2" pivot="0" name="U17-style 2">
      <tableStyleElement dxfId="2" type="firstRowStripe"/>
      <tableStyleElement dxfId="3" type="secondRowStripe"/>
    </tableStyle>
    <tableStyle count="2" pivot="0" name="U17-style 3">
      <tableStyleElement dxfId="2" type="firstRowStripe"/>
      <tableStyleElement dxfId="3" type="secondRowStripe"/>
    </tableStyle>
    <tableStyle count="3" pivot="0" name="U18-style">
      <tableStyleElement dxfId="1" type="headerRow"/>
      <tableStyleElement dxfId="2" type="firstRowStripe"/>
      <tableStyleElement dxfId="3" type="secondRowStripe"/>
    </tableStyle>
    <tableStyle count="2" pivot="0" name="U18-style 2">
      <tableStyleElement dxfId="3" type="firstRowStripe"/>
      <tableStyleElement dxfId="2" type="secondRowStripe"/>
    </tableStyle>
    <tableStyle count="3" pivot="0" name="U19-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35" displayName="Form_Responses1" name="Form_Responses1" id="1">
  <tableColumns count="11">
    <tableColumn name="Tidsstempel" id="1"/>
    <tableColumn name="Kamp - Hvilket hold spillede du for" id="2"/>
    <tableColumn name="Modstanderen (hvem spillede du mod)" id="3"/>
    <tableColumn name="Navn (fulde navn)" id="4"/>
    <tableColumn name="#Succesfulde pasninger /indlæg" id="5"/>
    <tableColumn name="#Total pasninger/indlæg (Succesfulde + ikke succesfulde)" id="6"/>
    <tableColumn name="#Total afslutninger" id="7"/>
    <tableColumn name="#Succesfulde erobringer på EGEN bane" id="8"/>
    <tableColumn name="#Succesfulde erobringer på DERES bane" id="9"/>
    <tableColumn name="#Total succesfulde erobringer (EGEN + DERES bane)" id="10"/>
    <tableColumn name="Hvad vil du gøre bedre i næste kamp ?" id="11"/>
  </tableColumns>
  <tableStyleInfo name="Formularsvar 1-style" showColumnStripes="0" showFirstColumn="1" showLastColumn="1" showRowStripes="1"/>
</table>
</file>

<file path=xl/tables/table2.xml><?xml version="1.0" encoding="utf-8"?>
<table xmlns="http://schemas.openxmlformats.org/spreadsheetml/2006/main" headerRowCount="0" ref="K4:Q4" displayName="Tabel1" name="Tabel1" id="2">
  <tableColumns count="7">
    <tableColumn name="Column1" id="1"/>
    <tableColumn name="Column2" id="2"/>
    <tableColumn name="Column3" id="3"/>
    <tableColumn name="Column4" id="4"/>
    <tableColumn name="Column5" id="5"/>
    <tableColumn name="Column6" id="6"/>
    <tableColumn name="Column7" id="7"/>
  </tableColumns>
  <tableStyleInfo name="U17-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J5:Q21" displayName="Table_1" name="Table_1"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U17-style 2" showColumnStripes="0" showFirstColumn="1" showLastColumn="1" showRowStripes="1"/>
</table>
</file>

<file path=xl/tables/table4.xml><?xml version="1.0" encoding="utf-8"?>
<table xmlns="http://schemas.openxmlformats.org/spreadsheetml/2006/main" headerRowCount="0" ref="J24:Q38" displayName="Table_2" name="Table_2"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U17-style 3" showColumnStripes="0" showFirstColumn="1" showLastColumn="1" showRowStripes="1"/>
</table>
</file>

<file path=xl/tables/table5.xml><?xml version="1.0" encoding="utf-8"?>
<table xmlns="http://schemas.openxmlformats.org/spreadsheetml/2006/main" headerRowCount="0" ref="J1:R1" displayName="Tabel2" name="Tabel2"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U18-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J2:R13" displayName="Table_3" name="Table_3"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U18-style 2" showColumnStripes="0" showFirstColumn="1" showLastColumn="1" showRowStripes="1"/>
</table>
</file>

<file path=xl/tables/table7.xml><?xml version="1.0" encoding="utf-8"?>
<table xmlns="http://schemas.openxmlformats.org/spreadsheetml/2006/main" ref="I1:P15" displayName="Tabel3" name="Tabel3" id="7">
  <tableColumns count="8">
    <tableColumn name="Navn (fulde navn)" id="1"/>
    <tableColumn name="#Succesfulde pasninger /indlæg" id="2"/>
    <tableColumn name="#Total pasninger/indlæg (Succesfulde + ikke succesfulde)" id="3"/>
    <tableColumn name="#Total afslutninger" id="4"/>
    <tableColumn name="#Succesfulde erobringer på EGEN bane" id="5"/>
    <tableColumn name="#Succesfulde erobringer på DERES bane" id="6"/>
    <tableColumn name="#Total succesfulde erobringer (EGEN + DERES bane)" id="7"/>
    <tableColumn name="Hvad vil du gøre bedre i næste kamp ?" id="8"/>
  </tableColumns>
  <tableStyleInfo name="U1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0.0"/>
    <col customWidth="1" min="3" max="3" width="33.25"/>
    <col customWidth="1" min="4" max="4" width="18.88"/>
    <col customWidth="1" min="5" max="5" width="28.88"/>
    <col customWidth="1" min="6" max="6" width="37.63"/>
    <col customWidth="1" min="7" max="7" width="19.13"/>
    <col customWidth="1" min="8" max="8" width="33.75"/>
    <col customWidth="1" min="9" max="9" width="34.63"/>
    <col customWidth="1" min="10" max="10" width="37.63"/>
    <col customWidth="1" min="11" max="17" width="18.88"/>
  </cols>
  <sheetData>
    <row r="1">
      <c r="A1" s="1" t="s">
        <v>0</v>
      </c>
      <c r="B1" s="2" t="s">
        <v>1</v>
      </c>
      <c r="C1" s="2" t="s">
        <v>2</v>
      </c>
      <c r="D1" s="2" t="s">
        <v>3</v>
      </c>
      <c r="E1" s="2" t="s">
        <v>4</v>
      </c>
      <c r="F1" s="2" t="s">
        <v>5</v>
      </c>
      <c r="G1" s="2" t="s">
        <v>6</v>
      </c>
      <c r="H1" s="2" t="s">
        <v>7</v>
      </c>
      <c r="I1" s="2" t="s">
        <v>8</v>
      </c>
      <c r="J1" s="2" t="s">
        <v>9</v>
      </c>
      <c r="K1" s="3" t="s">
        <v>10</v>
      </c>
    </row>
    <row r="2">
      <c r="A2" s="4">
        <v>45873.99547166667</v>
      </c>
      <c r="B2" s="5" t="s">
        <v>11</v>
      </c>
      <c r="C2" s="5" t="s">
        <v>12</v>
      </c>
      <c r="D2" s="5" t="s">
        <v>13</v>
      </c>
      <c r="E2" s="5">
        <v>7.0</v>
      </c>
      <c r="F2" s="5">
        <v>11.0</v>
      </c>
      <c r="G2" s="5">
        <v>6.0</v>
      </c>
      <c r="H2" s="5">
        <v>2.0</v>
      </c>
      <c r="I2" s="5">
        <v>1.0</v>
      </c>
      <c r="J2" s="5">
        <v>3.0</v>
      </c>
      <c r="K2" s="6" t="s">
        <v>14</v>
      </c>
    </row>
    <row r="3">
      <c r="A3" s="7">
        <v>45874.48170815972</v>
      </c>
      <c r="B3" s="8" t="s">
        <v>11</v>
      </c>
      <c r="C3" s="8" t="s">
        <v>15</v>
      </c>
      <c r="D3" s="8" t="s">
        <v>16</v>
      </c>
      <c r="E3" s="8">
        <v>10.0</v>
      </c>
      <c r="F3" s="8">
        <v>2.0</v>
      </c>
      <c r="G3" s="8">
        <v>3.0</v>
      </c>
      <c r="H3" s="8">
        <v>0.0</v>
      </c>
      <c r="I3" s="8">
        <v>4.0</v>
      </c>
      <c r="J3" s="8">
        <v>4.0</v>
      </c>
      <c r="K3" s="9" t="s">
        <v>17</v>
      </c>
    </row>
    <row r="4">
      <c r="A4" s="4">
        <v>45874.48673261574</v>
      </c>
      <c r="B4" s="5" t="s">
        <v>11</v>
      </c>
      <c r="C4" s="5" t="s">
        <v>18</v>
      </c>
      <c r="D4" s="5" t="s">
        <v>19</v>
      </c>
      <c r="E4" s="5">
        <v>24.0</v>
      </c>
      <c r="F4" s="5">
        <v>2.0</v>
      </c>
      <c r="G4" s="5">
        <v>0.0</v>
      </c>
      <c r="H4" s="5">
        <v>6.0</v>
      </c>
      <c r="I4" s="5">
        <v>7.0</v>
      </c>
      <c r="J4" s="5">
        <v>3.0</v>
      </c>
      <c r="K4" s="6" t="s">
        <v>20</v>
      </c>
    </row>
    <row r="5">
      <c r="A5" s="7">
        <v>45874.503544224535</v>
      </c>
      <c r="B5" s="8" t="s">
        <v>11</v>
      </c>
      <c r="C5" s="8" t="s">
        <v>12</v>
      </c>
      <c r="D5" s="8" t="s">
        <v>21</v>
      </c>
      <c r="E5" s="8">
        <v>17.0</v>
      </c>
      <c r="F5" s="8">
        <v>22.0</v>
      </c>
      <c r="G5" s="8">
        <v>5.0</v>
      </c>
      <c r="H5" s="8">
        <v>0.0</v>
      </c>
      <c r="I5" s="8">
        <v>2.0</v>
      </c>
      <c r="J5" s="8">
        <v>2.0</v>
      </c>
      <c r="K5" s="9" t="s">
        <v>22</v>
      </c>
    </row>
    <row r="6">
      <c r="A6" s="4">
        <v>45874.590110254634</v>
      </c>
      <c r="B6" s="5" t="s">
        <v>11</v>
      </c>
      <c r="C6" s="5" t="s">
        <v>23</v>
      </c>
      <c r="D6" s="5" t="s">
        <v>24</v>
      </c>
      <c r="E6" s="5">
        <v>22.0</v>
      </c>
      <c r="F6" s="5">
        <v>24.0</v>
      </c>
      <c r="G6" s="5">
        <v>0.0</v>
      </c>
      <c r="H6" s="5">
        <v>3.0</v>
      </c>
      <c r="I6" s="5">
        <v>5.0</v>
      </c>
      <c r="J6" s="5">
        <v>8.0</v>
      </c>
      <c r="K6" s="6" t="s">
        <v>25</v>
      </c>
    </row>
    <row r="7">
      <c r="A7" s="7">
        <v>45874.6245296875</v>
      </c>
      <c r="B7" s="8" t="s">
        <v>11</v>
      </c>
      <c r="C7" s="8" t="s">
        <v>12</v>
      </c>
      <c r="D7" s="8" t="s">
        <v>26</v>
      </c>
      <c r="E7" s="8">
        <v>16.0</v>
      </c>
      <c r="F7" s="8">
        <v>4.0</v>
      </c>
      <c r="G7" s="8">
        <v>1.0</v>
      </c>
      <c r="H7" s="8">
        <v>2.0</v>
      </c>
      <c r="I7" s="8">
        <v>1.0</v>
      </c>
      <c r="J7" s="8">
        <v>3.0</v>
      </c>
      <c r="K7" s="9" t="s">
        <v>27</v>
      </c>
    </row>
    <row r="8">
      <c r="A8" s="4">
        <v>45874.69181326389</v>
      </c>
      <c r="B8" s="5" t="s">
        <v>11</v>
      </c>
      <c r="C8" s="5" t="s">
        <v>28</v>
      </c>
      <c r="D8" s="5" t="s">
        <v>29</v>
      </c>
      <c r="E8" s="5">
        <v>8.0</v>
      </c>
      <c r="F8" s="5">
        <v>8.0</v>
      </c>
      <c r="G8" s="5">
        <v>1.0</v>
      </c>
      <c r="H8" s="5">
        <v>1.0</v>
      </c>
      <c r="I8" s="5">
        <v>0.0</v>
      </c>
      <c r="J8" s="5">
        <v>1.0</v>
      </c>
      <c r="K8" s="6" t="s">
        <v>30</v>
      </c>
    </row>
    <row r="9">
      <c r="A9" s="7">
        <v>45874.72503439814</v>
      </c>
      <c r="B9" s="8" t="s">
        <v>11</v>
      </c>
      <c r="C9" s="8" t="s">
        <v>23</v>
      </c>
      <c r="D9" s="8" t="s">
        <v>31</v>
      </c>
      <c r="E9" s="8">
        <v>26.0</v>
      </c>
      <c r="F9" s="8">
        <v>30.0</v>
      </c>
      <c r="G9" s="8">
        <v>1.0</v>
      </c>
      <c r="H9" s="8">
        <v>6.0</v>
      </c>
      <c r="I9" s="8">
        <v>0.0</v>
      </c>
      <c r="J9" s="8">
        <v>6.0</v>
      </c>
      <c r="K9" s="9" t="s">
        <v>32</v>
      </c>
    </row>
    <row r="10">
      <c r="A10" s="4">
        <v>45874.73421178241</v>
      </c>
      <c r="B10" s="5" t="s">
        <v>11</v>
      </c>
      <c r="C10" s="5" t="s">
        <v>12</v>
      </c>
      <c r="D10" s="5" t="s">
        <v>33</v>
      </c>
      <c r="E10" s="5">
        <v>14.0</v>
      </c>
      <c r="F10" s="5">
        <v>19.0</v>
      </c>
      <c r="G10" s="5">
        <v>1.0</v>
      </c>
      <c r="H10" s="5">
        <v>2.0</v>
      </c>
      <c r="I10" s="5">
        <v>1.0</v>
      </c>
      <c r="J10" s="5">
        <v>3.0</v>
      </c>
      <c r="K10" s="6" t="s">
        <v>34</v>
      </c>
    </row>
    <row r="11">
      <c r="A11" s="7">
        <v>45874.75461560185</v>
      </c>
      <c r="B11" s="8" t="s">
        <v>11</v>
      </c>
      <c r="C11" s="8" t="s">
        <v>23</v>
      </c>
      <c r="D11" s="8" t="s">
        <v>35</v>
      </c>
      <c r="E11" s="8">
        <v>20.0</v>
      </c>
      <c r="F11" s="8">
        <v>24.0</v>
      </c>
      <c r="G11" s="8">
        <v>0.0</v>
      </c>
      <c r="H11" s="8">
        <v>7.0</v>
      </c>
      <c r="I11" s="8">
        <v>3.0</v>
      </c>
      <c r="J11" s="8">
        <v>10.0</v>
      </c>
      <c r="K11" s="9" t="s">
        <v>36</v>
      </c>
    </row>
    <row r="12">
      <c r="A12" s="4">
        <v>45874.80791828704</v>
      </c>
      <c r="B12" s="5" t="s">
        <v>11</v>
      </c>
      <c r="C12" s="5" t="s">
        <v>37</v>
      </c>
      <c r="D12" s="5" t="s">
        <v>38</v>
      </c>
      <c r="E12" s="5">
        <v>14.0</v>
      </c>
      <c r="F12" s="5">
        <v>16.0</v>
      </c>
      <c r="G12" s="5">
        <v>0.0</v>
      </c>
      <c r="H12" s="5">
        <v>3.0</v>
      </c>
      <c r="I12" s="5">
        <v>3.0</v>
      </c>
      <c r="J12" s="5">
        <v>6.0</v>
      </c>
      <c r="K12" s="6" t="s">
        <v>39</v>
      </c>
    </row>
    <row r="13">
      <c r="A13" s="7">
        <v>45874.821819861114</v>
      </c>
      <c r="B13" s="8" t="s">
        <v>11</v>
      </c>
      <c r="C13" s="8" t="s">
        <v>12</v>
      </c>
      <c r="D13" s="8" t="s">
        <v>40</v>
      </c>
      <c r="E13" s="8">
        <v>16.0</v>
      </c>
      <c r="F13" s="8">
        <v>20.0</v>
      </c>
      <c r="G13" s="8">
        <v>4.0</v>
      </c>
      <c r="H13" s="8">
        <v>0.0</v>
      </c>
      <c r="I13" s="8">
        <v>2.0</v>
      </c>
      <c r="J13" s="8">
        <v>2.0</v>
      </c>
      <c r="K13" s="9" t="s">
        <v>41</v>
      </c>
    </row>
    <row r="14">
      <c r="A14" s="4">
        <v>45874.85540509259</v>
      </c>
      <c r="B14" s="5" t="s">
        <v>11</v>
      </c>
      <c r="C14" s="5" t="s">
        <v>12</v>
      </c>
      <c r="D14" s="5" t="s">
        <v>42</v>
      </c>
      <c r="E14" s="5">
        <v>16.0</v>
      </c>
      <c r="F14" s="5">
        <v>20.0</v>
      </c>
      <c r="G14" s="5">
        <v>6.0</v>
      </c>
      <c r="H14" s="5">
        <v>1.0</v>
      </c>
      <c r="I14" s="5">
        <v>2.0</v>
      </c>
      <c r="J14" s="5">
        <v>3.0</v>
      </c>
      <c r="K14" s="6" t="s">
        <v>43</v>
      </c>
    </row>
    <row r="15">
      <c r="A15" s="7">
        <v>45874.869754976855</v>
      </c>
      <c r="B15" s="8" t="s">
        <v>11</v>
      </c>
      <c r="C15" s="8" t="s">
        <v>44</v>
      </c>
      <c r="D15" s="8" t="s">
        <v>45</v>
      </c>
      <c r="E15" s="8">
        <v>10.0</v>
      </c>
      <c r="F15" s="8">
        <v>10.0</v>
      </c>
      <c r="G15" s="8">
        <v>2.0</v>
      </c>
      <c r="H15" s="8">
        <v>0.0</v>
      </c>
      <c r="I15" s="8">
        <v>3.0</v>
      </c>
      <c r="J15" s="8">
        <v>3.0</v>
      </c>
      <c r="K15" s="9" t="s">
        <v>46</v>
      </c>
    </row>
    <row r="16">
      <c r="A16" s="4">
        <v>45874.891206134256</v>
      </c>
      <c r="B16" s="5" t="s">
        <v>11</v>
      </c>
      <c r="C16" s="5" t="s">
        <v>23</v>
      </c>
      <c r="D16" s="5" t="s">
        <v>47</v>
      </c>
      <c r="E16" s="5">
        <v>12.0</v>
      </c>
      <c r="F16" s="5">
        <v>15.0</v>
      </c>
      <c r="G16" s="5">
        <v>1.0</v>
      </c>
      <c r="H16" s="5">
        <v>1.0</v>
      </c>
      <c r="I16" s="5">
        <v>3.0</v>
      </c>
      <c r="J16" s="5">
        <v>4.0</v>
      </c>
      <c r="K16" s="6" t="s">
        <v>48</v>
      </c>
    </row>
    <row r="17">
      <c r="A17" s="7">
        <v>45874.89243385417</v>
      </c>
      <c r="B17" s="8" t="s">
        <v>11</v>
      </c>
      <c r="C17" s="8" t="s">
        <v>12</v>
      </c>
      <c r="D17" s="8" t="s">
        <v>49</v>
      </c>
      <c r="E17" s="8">
        <v>7.0</v>
      </c>
      <c r="F17" s="8" t="s">
        <v>50</v>
      </c>
      <c r="G17" s="8">
        <v>2.0</v>
      </c>
      <c r="H17" s="8">
        <v>1.0</v>
      </c>
      <c r="I17" s="8">
        <v>4.0</v>
      </c>
      <c r="J17" s="8">
        <v>5.0</v>
      </c>
      <c r="K17" s="9" t="s">
        <v>51</v>
      </c>
    </row>
    <row r="18">
      <c r="A18" s="4">
        <v>45874.94585363426</v>
      </c>
      <c r="B18" s="5" t="s">
        <v>11</v>
      </c>
      <c r="C18" s="5" t="s">
        <v>12</v>
      </c>
      <c r="D18" s="5" t="s">
        <v>52</v>
      </c>
      <c r="E18" s="5">
        <v>15.0</v>
      </c>
      <c r="F18" s="5">
        <v>17.0</v>
      </c>
      <c r="G18" s="5">
        <v>3.0</v>
      </c>
      <c r="H18" s="5">
        <v>3.0</v>
      </c>
      <c r="I18" s="5">
        <v>3.0</v>
      </c>
      <c r="J18" s="5">
        <v>6.0</v>
      </c>
      <c r="K18" s="6" t="s">
        <v>53</v>
      </c>
    </row>
    <row r="19">
      <c r="A19" s="7">
        <v>45875.41767851852</v>
      </c>
      <c r="B19" s="8" t="s">
        <v>11</v>
      </c>
      <c r="C19" s="8" t="s">
        <v>18</v>
      </c>
      <c r="D19" s="8" t="s">
        <v>54</v>
      </c>
      <c r="E19" s="8">
        <v>10.0</v>
      </c>
      <c r="F19" s="8">
        <v>11.0</v>
      </c>
      <c r="G19" s="8">
        <v>0.0</v>
      </c>
      <c r="H19" s="8">
        <v>3.0</v>
      </c>
      <c r="I19" s="8">
        <v>1.0</v>
      </c>
      <c r="J19" s="8">
        <v>4.0</v>
      </c>
      <c r="K19" s="9" t="s">
        <v>55</v>
      </c>
    </row>
    <row r="20">
      <c r="A20" s="4">
        <v>45876.47711853009</v>
      </c>
      <c r="B20" s="5" t="s">
        <v>11</v>
      </c>
      <c r="C20" s="5" t="s">
        <v>56</v>
      </c>
      <c r="D20" s="5" t="s">
        <v>19</v>
      </c>
      <c r="E20" s="5">
        <v>25.0</v>
      </c>
      <c r="F20" s="5">
        <v>3.0</v>
      </c>
      <c r="G20" s="5">
        <v>0.0</v>
      </c>
      <c r="H20" s="5">
        <v>8.0</v>
      </c>
      <c r="I20" s="5">
        <v>4.0</v>
      </c>
      <c r="J20" s="5">
        <v>4.0</v>
      </c>
      <c r="K20" s="6" t="s">
        <v>57</v>
      </c>
    </row>
    <row r="21">
      <c r="A21" s="7">
        <v>45876.49200190972</v>
      </c>
      <c r="B21" s="8" t="s">
        <v>11</v>
      </c>
      <c r="C21" s="8" t="s">
        <v>56</v>
      </c>
      <c r="D21" s="8" t="s">
        <v>13</v>
      </c>
      <c r="E21" s="8">
        <v>9.0</v>
      </c>
      <c r="F21" s="8">
        <v>12.0</v>
      </c>
      <c r="G21" s="8">
        <v>6.0</v>
      </c>
      <c r="H21" s="8">
        <v>1.0</v>
      </c>
      <c r="I21" s="8">
        <v>6.0</v>
      </c>
      <c r="J21" s="8">
        <v>7.0</v>
      </c>
      <c r="K21" s="9" t="s">
        <v>58</v>
      </c>
    </row>
    <row r="22">
      <c r="A22" s="4">
        <v>45876.532220277775</v>
      </c>
      <c r="B22" s="5" t="s">
        <v>11</v>
      </c>
      <c r="C22" s="5" t="s">
        <v>56</v>
      </c>
      <c r="D22" s="5" t="s">
        <v>59</v>
      </c>
      <c r="E22" s="5">
        <v>22.0</v>
      </c>
      <c r="F22" s="5">
        <v>25.0</v>
      </c>
      <c r="G22" s="5">
        <v>2.0</v>
      </c>
      <c r="H22" s="5">
        <v>9.0</v>
      </c>
      <c r="I22" s="5">
        <v>4.0</v>
      </c>
      <c r="J22" s="5">
        <v>13.0</v>
      </c>
      <c r="K22" s="6" t="s">
        <v>60</v>
      </c>
    </row>
    <row r="23">
      <c r="A23" s="7">
        <v>45876.549372546295</v>
      </c>
      <c r="B23" s="8" t="s">
        <v>11</v>
      </c>
      <c r="C23" s="8" t="s">
        <v>61</v>
      </c>
      <c r="D23" s="8" t="s">
        <v>62</v>
      </c>
      <c r="E23" s="8">
        <v>33.0</v>
      </c>
      <c r="F23" s="8">
        <v>36.0</v>
      </c>
      <c r="G23" s="8">
        <v>3.0</v>
      </c>
      <c r="H23" s="8">
        <v>1.0</v>
      </c>
      <c r="I23" s="10" t="s">
        <v>63</v>
      </c>
      <c r="J23" s="10" t="s">
        <v>64</v>
      </c>
      <c r="K23" s="9" t="s">
        <v>65</v>
      </c>
    </row>
    <row r="24">
      <c r="A24" s="4">
        <v>45876.56680630787</v>
      </c>
      <c r="B24" s="5" t="s">
        <v>11</v>
      </c>
      <c r="C24" s="5" t="s">
        <v>56</v>
      </c>
      <c r="D24" s="5" t="s">
        <v>24</v>
      </c>
      <c r="E24" s="5">
        <v>24.0</v>
      </c>
      <c r="F24" s="5">
        <v>28.0</v>
      </c>
      <c r="G24" s="5">
        <v>0.0</v>
      </c>
      <c r="H24" s="5">
        <v>2.0</v>
      </c>
      <c r="I24" s="5">
        <v>10.0</v>
      </c>
      <c r="J24" s="5">
        <v>12.0</v>
      </c>
      <c r="K24" s="6" t="s">
        <v>66</v>
      </c>
    </row>
    <row r="25">
      <c r="A25" s="7">
        <v>45876.57297497685</v>
      </c>
      <c r="B25" s="8" t="s">
        <v>11</v>
      </c>
      <c r="C25" s="8" t="s">
        <v>56</v>
      </c>
      <c r="D25" s="8" t="s">
        <v>67</v>
      </c>
      <c r="E25" s="8">
        <v>8.0</v>
      </c>
      <c r="F25" s="8">
        <v>10.0</v>
      </c>
      <c r="G25" s="8">
        <v>3.0</v>
      </c>
      <c r="H25" s="8">
        <v>1.0</v>
      </c>
      <c r="I25" s="8">
        <v>2.0</v>
      </c>
      <c r="J25" s="8">
        <v>3.0</v>
      </c>
      <c r="K25" s="9" t="s">
        <v>68</v>
      </c>
    </row>
    <row r="26">
      <c r="A26" s="4">
        <v>45876.67326447916</v>
      </c>
      <c r="B26" s="5" t="s">
        <v>11</v>
      </c>
      <c r="C26" s="5" t="s">
        <v>69</v>
      </c>
      <c r="D26" s="5" t="s">
        <v>70</v>
      </c>
      <c r="E26" s="5">
        <v>13.0</v>
      </c>
      <c r="F26" s="5">
        <v>17.0</v>
      </c>
      <c r="G26" s="5">
        <v>4.0</v>
      </c>
      <c r="H26" s="5">
        <v>0.0</v>
      </c>
      <c r="I26" s="5">
        <v>2.0</v>
      </c>
      <c r="J26" s="5">
        <v>2.0</v>
      </c>
      <c r="K26" s="6" t="s">
        <v>71</v>
      </c>
    </row>
    <row r="27">
      <c r="A27" s="7">
        <v>45876.850403530094</v>
      </c>
      <c r="B27" s="8" t="s">
        <v>11</v>
      </c>
      <c r="C27" s="8" t="s">
        <v>72</v>
      </c>
      <c r="D27" s="8" t="s">
        <v>33</v>
      </c>
      <c r="E27" s="8">
        <v>16.0</v>
      </c>
      <c r="F27" s="8">
        <v>18.0</v>
      </c>
      <c r="G27" s="8">
        <v>1.0</v>
      </c>
      <c r="H27" s="8">
        <v>2.0</v>
      </c>
      <c r="I27" s="8">
        <v>1.0</v>
      </c>
      <c r="J27" s="8">
        <v>3.0</v>
      </c>
      <c r="K27" s="9" t="s">
        <v>73</v>
      </c>
    </row>
    <row r="28">
      <c r="A28" s="4">
        <v>45876.890485185184</v>
      </c>
      <c r="B28" s="5" t="s">
        <v>11</v>
      </c>
      <c r="C28" s="5" t="s">
        <v>56</v>
      </c>
      <c r="D28" s="5" t="s">
        <v>38</v>
      </c>
      <c r="E28" s="5">
        <v>23.0</v>
      </c>
      <c r="F28" s="5">
        <v>26.0</v>
      </c>
      <c r="G28" s="5">
        <v>0.0</v>
      </c>
      <c r="H28" s="5">
        <v>9.0</v>
      </c>
      <c r="I28" s="5">
        <v>2.0</v>
      </c>
      <c r="J28" s="5">
        <v>11.0</v>
      </c>
      <c r="K28" s="6" t="s">
        <v>74</v>
      </c>
    </row>
    <row r="29">
      <c r="A29" s="7">
        <v>45877.47607266204</v>
      </c>
      <c r="B29" s="8" t="s">
        <v>11</v>
      </c>
      <c r="C29" s="8" t="s">
        <v>75</v>
      </c>
      <c r="D29" s="8" t="s">
        <v>76</v>
      </c>
      <c r="E29" s="8">
        <v>8.0</v>
      </c>
      <c r="F29" s="8">
        <v>12.0</v>
      </c>
      <c r="G29" s="8">
        <v>2.0</v>
      </c>
      <c r="H29" s="8">
        <v>0.0</v>
      </c>
      <c r="I29" s="8">
        <v>3.0</v>
      </c>
      <c r="J29" s="8">
        <v>3.0</v>
      </c>
      <c r="K29" s="9" t="s">
        <v>77</v>
      </c>
    </row>
    <row r="30">
      <c r="A30" s="4">
        <v>45877.563941458335</v>
      </c>
      <c r="B30" s="5" t="s">
        <v>11</v>
      </c>
      <c r="C30" s="5" t="s">
        <v>78</v>
      </c>
      <c r="D30" s="5" t="s">
        <v>47</v>
      </c>
      <c r="E30" s="5">
        <v>9.0</v>
      </c>
      <c r="F30" s="5">
        <v>1.0</v>
      </c>
      <c r="G30" s="5">
        <v>1.0</v>
      </c>
      <c r="H30" s="5">
        <v>0.0</v>
      </c>
      <c r="I30" s="5">
        <v>0.0</v>
      </c>
      <c r="J30" s="5">
        <v>0.0</v>
      </c>
      <c r="K30" s="6" t="s">
        <v>79</v>
      </c>
    </row>
    <row r="31">
      <c r="A31" s="7">
        <v>45877.73073247685</v>
      </c>
      <c r="B31" s="8" t="s">
        <v>11</v>
      </c>
      <c r="C31" s="8" t="s">
        <v>78</v>
      </c>
      <c r="D31" s="8" t="s">
        <v>31</v>
      </c>
      <c r="E31" s="8">
        <v>29.0</v>
      </c>
      <c r="F31" s="8">
        <v>34.0</v>
      </c>
      <c r="G31" s="8">
        <v>0.0</v>
      </c>
      <c r="H31" s="8">
        <v>11.0</v>
      </c>
      <c r="I31" s="8">
        <v>1.0</v>
      </c>
      <c r="J31" s="8">
        <v>12.0</v>
      </c>
      <c r="K31" s="9" t="s">
        <v>80</v>
      </c>
    </row>
    <row r="32">
      <c r="A32" s="4">
        <v>45877.76734085648</v>
      </c>
      <c r="B32" s="5" t="s">
        <v>11</v>
      </c>
      <c r="C32" s="5" t="s">
        <v>78</v>
      </c>
      <c r="D32" s="5" t="s">
        <v>81</v>
      </c>
      <c r="E32" s="5">
        <v>9.0</v>
      </c>
      <c r="F32" s="5">
        <v>12.0</v>
      </c>
      <c r="G32" s="5">
        <v>6.0</v>
      </c>
      <c r="H32" s="5">
        <v>1.0</v>
      </c>
      <c r="I32" s="5">
        <v>2.0</v>
      </c>
      <c r="J32" s="5">
        <v>3.0</v>
      </c>
      <c r="K32" s="6" t="s">
        <v>82</v>
      </c>
    </row>
    <row r="33">
      <c r="A33" s="7">
        <v>45877.97896511574</v>
      </c>
      <c r="B33" s="8" t="s">
        <v>11</v>
      </c>
      <c r="C33" s="8" t="s">
        <v>72</v>
      </c>
      <c r="D33" s="8" t="s">
        <v>52</v>
      </c>
      <c r="E33" s="8">
        <v>19.0</v>
      </c>
      <c r="F33" s="8">
        <v>22.0</v>
      </c>
      <c r="G33" s="8">
        <v>1.0</v>
      </c>
      <c r="H33" s="8">
        <v>2.0</v>
      </c>
      <c r="I33" s="8">
        <v>1.0</v>
      </c>
      <c r="J33" s="8">
        <v>3.0</v>
      </c>
      <c r="K33" s="9" t="s">
        <v>83</v>
      </c>
    </row>
    <row r="34">
      <c r="A34" s="4">
        <v>45878.50103944444</v>
      </c>
      <c r="B34" s="5" t="s">
        <v>11</v>
      </c>
      <c r="C34" s="5" t="s">
        <v>56</v>
      </c>
      <c r="D34" s="5" t="s">
        <v>84</v>
      </c>
      <c r="E34" s="5">
        <v>16.0</v>
      </c>
      <c r="F34" s="5">
        <v>26.0</v>
      </c>
      <c r="G34" s="5">
        <v>3.0</v>
      </c>
      <c r="H34" s="5">
        <v>0.0</v>
      </c>
      <c r="I34" s="5">
        <v>4.0</v>
      </c>
      <c r="J34" s="5">
        <v>4.0</v>
      </c>
      <c r="K34" s="6" t="s">
        <v>85</v>
      </c>
    </row>
    <row r="35">
      <c r="A35" s="11">
        <v>45878.95163622685</v>
      </c>
      <c r="B35" s="12" t="s">
        <v>11</v>
      </c>
      <c r="C35" s="12" t="s">
        <v>56</v>
      </c>
      <c r="D35" s="12" t="s">
        <v>49</v>
      </c>
      <c r="E35" s="12">
        <v>18.0</v>
      </c>
      <c r="F35" s="12" t="s">
        <v>86</v>
      </c>
      <c r="G35" s="12">
        <v>4.0</v>
      </c>
      <c r="H35" s="12">
        <v>2.0</v>
      </c>
      <c r="I35" s="12">
        <v>1.0</v>
      </c>
      <c r="J35" s="12">
        <v>3.0</v>
      </c>
      <c r="K35" s="13" t="s">
        <v>87</v>
      </c>
    </row>
  </sheetData>
  <dataValidations>
    <dataValidation type="custom" allowBlank="1" showDropDown="1" sqref="A2:A35">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7" width="8.25"/>
    <col customWidth="1" min="8" max="8" width="1.75"/>
    <col customWidth="1" min="9" max="9" width="9.88"/>
    <col customWidth="1" min="10" max="10" width="9.63"/>
    <col customWidth="1" min="11" max="11" width="6.5"/>
    <col customWidth="1" min="12" max="12" width="7.25"/>
    <col customWidth="1" min="13" max="13" width="7.13"/>
    <col customWidth="1" min="15" max="16" width="4.25"/>
    <col customWidth="1" min="17" max="17" width="5.5"/>
    <col customWidth="1" min="18" max="18" width="6.5"/>
    <col customWidth="1" min="19" max="19" width="5.25"/>
  </cols>
  <sheetData>
    <row r="1">
      <c r="A1" s="14" t="s">
        <v>88</v>
      </c>
      <c r="E1" s="15"/>
      <c r="F1" s="16"/>
      <c r="G1" s="16"/>
      <c r="H1" s="16"/>
      <c r="I1" s="14" t="s">
        <v>89</v>
      </c>
      <c r="N1" s="16"/>
      <c r="O1" s="14"/>
      <c r="P1" s="14" t="s">
        <v>90</v>
      </c>
      <c r="Q1" s="16"/>
      <c r="R1" s="16"/>
      <c r="S1" s="16"/>
      <c r="T1" s="17"/>
      <c r="U1" s="17"/>
      <c r="V1" s="17"/>
      <c r="W1" s="17"/>
    </row>
    <row r="2">
      <c r="A2" s="18"/>
      <c r="B2" s="18" t="s">
        <v>91</v>
      </c>
      <c r="C2" s="18" t="s">
        <v>92</v>
      </c>
      <c r="D2" s="16"/>
      <c r="E2" s="16"/>
      <c r="F2" s="16"/>
      <c r="G2" s="16"/>
      <c r="H2" s="16"/>
      <c r="I2" s="19" t="s">
        <v>93</v>
      </c>
      <c r="J2" s="19" t="s">
        <v>94</v>
      </c>
      <c r="K2" s="19" t="s">
        <v>95</v>
      </c>
      <c r="L2" s="19" t="s">
        <v>96</v>
      </c>
      <c r="M2" s="19" t="s">
        <v>97</v>
      </c>
      <c r="N2" s="16"/>
      <c r="O2" s="20"/>
      <c r="P2" s="20" t="s">
        <v>98</v>
      </c>
      <c r="Q2" s="20" t="s">
        <v>99</v>
      </c>
      <c r="R2" s="20" t="s">
        <v>100</v>
      </c>
      <c r="S2" s="20" t="s">
        <v>101</v>
      </c>
      <c r="T2" s="17"/>
      <c r="U2" s="17"/>
      <c r="V2" s="17"/>
      <c r="W2" s="17"/>
    </row>
    <row r="3">
      <c r="A3" s="21" t="s">
        <v>102</v>
      </c>
      <c r="B3" s="22"/>
      <c r="C3" s="23"/>
      <c r="D3" s="16"/>
      <c r="E3" s="16"/>
      <c r="F3" s="16"/>
      <c r="G3" s="16"/>
      <c r="H3" s="24">
        <v>3.0</v>
      </c>
      <c r="I3" s="25"/>
      <c r="J3" s="25"/>
      <c r="K3" s="25"/>
      <c r="L3" s="25"/>
      <c r="M3" s="25"/>
      <c r="N3" s="16"/>
      <c r="O3" s="26" t="s">
        <v>102</v>
      </c>
      <c r="P3" s="19"/>
      <c r="Q3" s="19"/>
      <c r="R3" s="19"/>
      <c r="S3" s="19"/>
      <c r="T3" s="17"/>
      <c r="U3" s="17"/>
      <c r="V3" s="17"/>
      <c r="W3" s="17"/>
    </row>
    <row r="4">
      <c r="A4" s="21" t="s">
        <v>103</v>
      </c>
      <c r="B4" s="27"/>
      <c r="C4" s="28">
        <v>2.0</v>
      </c>
      <c r="D4" s="16"/>
      <c r="E4" s="16"/>
      <c r="F4" s="16"/>
      <c r="G4" s="16"/>
      <c r="H4" s="24">
        <v>2.0</v>
      </c>
      <c r="I4" s="25"/>
      <c r="J4" s="25"/>
      <c r="K4" s="29">
        <v>1.0</v>
      </c>
      <c r="L4" s="29"/>
      <c r="M4" s="25"/>
      <c r="N4" s="16"/>
      <c r="O4" s="26" t="s">
        <v>103</v>
      </c>
      <c r="P4" s="30">
        <v>2.0</v>
      </c>
      <c r="Q4" s="19"/>
      <c r="R4" s="30">
        <v>2.0</v>
      </c>
      <c r="S4" s="19"/>
      <c r="T4" s="17"/>
      <c r="U4" s="17"/>
      <c r="V4" s="17"/>
      <c r="W4" s="17"/>
    </row>
    <row r="5">
      <c r="A5" s="21" t="s">
        <v>104</v>
      </c>
      <c r="B5" s="27"/>
      <c r="C5" s="27"/>
      <c r="D5" s="15"/>
      <c r="E5" s="15"/>
      <c r="F5" s="15"/>
      <c r="G5" s="15"/>
      <c r="H5" s="24">
        <v>1.0</v>
      </c>
      <c r="I5" s="25"/>
      <c r="J5" s="29">
        <v>1.0</v>
      </c>
      <c r="K5" s="29">
        <v>3.0</v>
      </c>
      <c r="L5" s="29">
        <v>1.0</v>
      </c>
      <c r="M5" s="25"/>
      <c r="N5" s="16"/>
      <c r="O5" s="26" t="s">
        <v>104</v>
      </c>
      <c r="P5" s="19"/>
      <c r="Q5" s="19"/>
      <c r="R5" s="19"/>
      <c r="S5" s="19"/>
      <c r="T5" s="17"/>
      <c r="U5" s="17"/>
      <c r="V5" s="17"/>
      <c r="W5" s="17"/>
    </row>
    <row r="6">
      <c r="A6" s="21" t="s">
        <v>105</v>
      </c>
      <c r="B6" s="31">
        <v>3.0</v>
      </c>
      <c r="C6" s="31">
        <v>4.0</v>
      </c>
      <c r="D6" s="15"/>
      <c r="E6" s="15"/>
      <c r="F6" s="15"/>
      <c r="G6" s="15"/>
      <c r="H6" s="15"/>
      <c r="I6" s="15"/>
      <c r="J6" s="15"/>
      <c r="K6" s="15"/>
      <c r="L6" s="15"/>
      <c r="M6" s="15"/>
      <c r="N6" s="16"/>
      <c r="O6" s="26" t="s">
        <v>105</v>
      </c>
      <c r="P6" s="30">
        <v>5.0</v>
      </c>
      <c r="Q6" s="30">
        <v>4.0</v>
      </c>
      <c r="R6" s="30">
        <v>2.0</v>
      </c>
      <c r="S6" s="19"/>
      <c r="T6" s="17"/>
      <c r="U6" s="17"/>
      <c r="V6" s="17"/>
      <c r="W6" s="17"/>
    </row>
    <row r="7">
      <c r="A7" s="15"/>
      <c r="B7" s="15"/>
      <c r="C7" s="15"/>
      <c r="D7" s="15"/>
      <c r="E7" s="15"/>
      <c r="F7" s="15"/>
      <c r="G7" s="15"/>
      <c r="H7" s="16"/>
      <c r="I7" s="14" t="s">
        <v>106</v>
      </c>
      <c r="N7" s="16"/>
      <c r="O7" s="16"/>
      <c r="P7" s="16"/>
      <c r="Q7" s="16"/>
      <c r="R7" s="16"/>
      <c r="S7" s="16"/>
      <c r="T7" s="17"/>
      <c r="U7" s="17"/>
      <c r="V7" s="17"/>
      <c r="W7" s="17"/>
    </row>
    <row r="8">
      <c r="A8" s="32" t="s">
        <v>107</v>
      </c>
      <c r="B8" s="15"/>
      <c r="C8" s="33" t="s">
        <v>108</v>
      </c>
      <c r="D8" s="16"/>
      <c r="E8" s="16"/>
      <c r="F8" s="16"/>
      <c r="G8" s="16"/>
      <c r="H8" s="16"/>
      <c r="I8" s="19" t="s">
        <v>93</v>
      </c>
      <c r="J8" s="19" t="s">
        <v>94</v>
      </c>
      <c r="K8" s="19" t="s">
        <v>95</v>
      </c>
      <c r="L8" s="19" t="s">
        <v>96</v>
      </c>
      <c r="M8" s="19" t="s">
        <v>97</v>
      </c>
      <c r="N8" s="16"/>
      <c r="O8" s="16"/>
      <c r="P8" s="16"/>
      <c r="Q8" s="16"/>
      <c r="R8" s="16"/>
      <c r="S8" s="16"/>
      <c r="T8" s="17"/>
      <c r="U8" s="17"/>
      <c r="V8" s="17"/>
      <c r="W8" s="17"/>
    </row>
    <row r="9">
      <c r="A9" s="19"/>
      <c r="B9" s="19" t="s">
        <v>93</v>
      </c>
      <c r="C9" s="19" t="s">
        <v>94</v>
      </c>
      <c r="D9" s="19" t="s">
        <v>95</v>
      </c>
      <c r="E9" s="19" t="s">
        <v>96</v>
      </c>
      <c r="F9" s="19" t="s">
        <v>97</v>
      </c>
      <c r="G9" s="16"/>
      <c r="H9" s="24">
        <v>3.0</v>
      </c>
      <c r="I9" s="25"/>
      <c r="J9" s="29">
        <v>3.0</v>
      </c>
      <c r="K9" s="25"/>
      <c r="L9" s="25"/>
      <c r="M9" s="25"/>
      <c r="N9" s="16"/>
      <c r="O9" s="16"/>
      <c r="P9" s="16"/>
      <c r="Q9" s="16"/>
      <c r="R9" s="16"/>
      <c r="S9" s="16"/>
      <c r="T9" s="17"/>
      <c r="U9" s="17"/>
      <c r="V9" s="17"/>
      <c r="W9" s="17"/>
    </row>
    <row r="10">
      <c r="A10" s="24">
        <v>3.0</v>
      </c>
      <c r="B10" s="34"/>
      <c r="C10" s="25"/>
      <c r="D10" s="25"/>
      <c r="E10" s="25"/>
      <c r="F10" s="25"/>
      <c r="G10" s="16"/>
      <c r="H10" s="24">
        <v>2.0</v>
      </c>
      <c r="I10" s="29">
        <v>1.0</v>
      </c>
      <c r="J10" s="29">
        <v>2.0</v>
      </c>
      <c r="K10" s="25"/>
      <c r="L10" s="29">
        <v>3.0</v>
      </c>
      <c r="M10" s="29">
        <v>1.0</v>
      </c>
      <c r="N10" s="16"/>
      <c r="O10" s="16"/>
      <c r="P10" s="16"/>
      <c r="Q10" s="16"/>
      <c r="R10" s="16"/>
      <c r="S10" s="16"/>
      <c r="T10" s="17"/>
      <c r="U10" s="17"/>
      <c r="V10" s="17"/>
      <c r="W10" s="17"/>
    </row>
    <row r="11">
      <c r="A11" s="24">
        <v>2.0</v>
      </c>
      <c r="B11" s="25"/>
      <c r="C11" s="29">
        <v>4.0</v>
      </c>
      <c r="D11" s="29"/>
      <c r="E11" s="25"/>
      <c r="F11" s="25"/>
      <c r="G11" s="16"/>
      <c r="H11" s="24">
        <v>1.0</v>
      </c>
      <c r="I11" s="25"/>
      <c r="J11" s="29">
        <v>2.0</v>
      </c>
      <c r="K11" s="25"/>
      <c r="L11" s="25"/>
      <c r="M11" s="29">
        <v>1.0</v>
      </c>
      <c r="N11" s="16"/>
      <c r="O11" s="16"/>
      <c r="P11" s="16"/>
      <c r="Q11" s="16"/>
      <c r="R11" s="16"/>
      <c r="S11" s="16"/>
      <c r="T11" s="17"/>
      <c r="U11" s="17"/>
      <c r="V11" s="17"/>
      <c r="W11" s="17"/>
    </row>
    <row r="12">
      <c r="A12" s="24">
        <v>1.0</v>
      </c>
      <c r="B12" s="25"/>
      <c r="C12" s="29">
        <v>2.0</v>
      </c>
      <c r="D12" s="29">
        <v>1.0</v>
      </c>
      <c r="E12" s="29">
        <v>3.0</v>
      </c>
      <c r="F12" s="25"/>
      <c r="G12" s="16"/>
      <c r="H12" s="15"/>
      <c r="I12" s="15"/>
      <c r="J12" s="15"/>
      <c r="K12" s="15"/>
      <c r="L12" s="15"/>
      <c r="M12" s="15"/>
      <c r="N12" s="16"/>
      <c r="O12" s="16"/>
      <c r="P12" s="16"/>
      <c r="Q12" s="16"/>
      <c r="R12" s="16"/>
      <c r="S12" s="16"/>
      <c r="T12" s="17"/>
      <c r="U12" s="17"/>
      <c r="V12" s="17"/>
      <c r="W12" s="17"/>
    </row>
    <row r="13">
      <c r="A13" s="15"/>
      <c r="B13" s="15"/>
      <c r="C13" s="15"/>
      <c r="D13" s="15"/>
      <c r="E13" s="15"/>
      <c r="F13" s="15"/>
      <c r="G13" s="15"/>
      <c r="H13" s="15"/>
      <c r="I13" s="15"/>
      <c r="J13" s="15"/>
      <c r="K13" s="35" t="s">
        <v>109</v>
      </c>
      <c r="L13" s="35" t="s">
        <v>110</v>
      </c>
      <c r="M13" s="15"/>
      <c r="N13" s="15"/>
      <c r="O13" s="16"/>
      <c r="P13" s="16"/>
      <c r="Q13" s="16"/>
      <c r="R13" s="15"/>
      <c r="S13" s="15"/>
    </row>
    <row r="14">
      <c r="A14" s="15"/>
      <c r="B14" s="14" t="s">
        <v>111</v>
      </c>
      <c r="C14" s="16"/>
      <c r="D14" s="16"/>
      <c r="E14" s="16"/>
      <c r="F14" s="16"/>
      <c r="G14" s="16"/>
      <c r="H14" s="16"/>
      <c r="I14" s="14" t="s">
        <v>112</v>
      </c>
      <c r="J14" s="16"/>
      <c r="K14" s="36">
        <v>6.0</v>
      </c>
      <c r="L14" s="36">
        <v>3.0</v>
      </c>
      <c r="M14" s="16"/>
      <c r="N14" s="15"/>
      <c r="O14" s="16"/>
      <c r="P14" s="16"/>
      <c r="Q14" s="16"/>
      <c r="R14" s="15"/>
      <c r="S14" s="15"/>
    </row>
    <row r="15">
      <c r="A15" s="15"/>
      <c r="B15" s="37">
        <v>5.0</v>
      </c>
      <c r="C15" s="37">
        <v>6.0</v>
      </c>
      <c r="D15" s="37">
        <v>7.0</v>
      </c>
      <c r="E15" s="37">
        <v>8.0</v>
      </c>
      <c r="F15" s="37">
        <v>9.0</v>
      </c>
      <c r="G15" s="37">
        <v>10.0</v>
      </c>
      <c r="H15" s="16"/>
      <c r="I15" s="19" t="s">
        <v>93</v>
      </c>
      <c r="J15" s="19" t="s">
        <v>94</v>
      </c>
      <c r="K15" s="19" t="s">
        <v>95</v>
      </c>
      <c r="L15" s="19" t="s">
        <v>96</v>
      </c>
      <c r="M15" s="19" t="s">
        <v>97</v>
      </c>
      <c r="N15" s="15"/>
      <c r="O15" s="16"/>
      <c r="P15" s="16"/>
      <c r="Q15" s="16"/>
      <c r="R15" s="15"/>
      <c r="S15" s="15"/>
    </row>
    <row r="16">
      <c r="A16" s="21" t="s">
        <v>102</v>
      </c>
      <c r="B16" s="38"/>
      <c r="C16" s="38"/>
      <c r="D16" s="38"/>
      <c r="E16" s="38"/>
      <c r="F16" s="38"/>
      <c r="G16" s="38"/>
      <c r="H16" s="24">
        <v>3.0</v>
      </c>
      <c r="I16" s="25"/>
      <c r="J16" s="29">
        <v>2.0</v>
      </c>
      <c r="K16" s="29">
        <v>7.0</v>
      </c>
      <c r="L16" s="29">
        <v>1.0</v>
      </c>
      <c r="M16" s="25"/>
      <c r="N16" s="15"/>
      <c r="O16" s="16"/>
      <c r="P16" s="16"/>
      <c r="Q16" s="16"/>
      <c r="R16" s="15"/>
      <c r="S16" s="15"/>
    </row>
    <row r="17">
      <c r="A17" s="21" t="s">
        <v>103</v>
      </c>
      <c r="B17" s="39"/>
      <c r="C17" s="39"/>
      <c r="D17" s="39"/>
      <c r="E17" s="40">
        <v>2.0</v>
      </c>
      <c r="F17" s="40">
        <v>1.0</v>
      </c>
      <c r="G17" s="40">
        <v>1.0</v>
      </c>
      <c r="H17" s="24">
        <v>2.0</v>
      </c>
      <c r="I17" s="25"/>
      <c r="J17" s="29">
        <v>1.0</v>
      </c>
      <c r="K17" s="29">
        <v>3.0</v>
      </c>
      <c r="L17" s="25"/>
      <c r="M17" s="25"/>
      <c r="N17" s="15"/>
      <c r="O17" s="16"/>
      <c r="P17" s="16"/>
      <c r="Q17" s="16"/>
      <c r="R17" s="15"/>
      <c r="S17" s="15"/>
    </row>
    <row r="18">
      <c r="A18" s="21" t="s">
        <v>104</v>
      </c>
      <c r="B18" s="39"/>
      <c r="C18" s="39"/>
      <c r="D18" s="39"/>
      <c r="E18" s="39"/>
      <c r="F18" s="39"/>
      <c r="G18" s="39"/>
      <c r="H18" s="24">
        <v>1.0</v>
      </c>
      <c r="I18" s="25"/>
      <c r="J18" s="25"/>
      <c r="K18" s="25"/>
      <c r="L18" s="25"/>
      <c r="M18" s="25"/>
      <c r="N18" s="15"/>
      <c r="O18" s="15"/>
      <c r="P18" s="15"/>
      <c r="Q18" s="15"/>
      <c r="R18" s="15"/>
      <c r="S18" s="15"/>
    </row>
    <row r="19">
      <c r="A19" s="21" t="s">
        <v>105</v>
      </c>
      <c r="B19" s="39"/>
      <c r="C19" s="39"/>
      <c r="D19" s="39"/>
      <c r="E19" s="40">
        <v>3.0</v>
      </c>
      <c r="F19" s="40">
        <v>2.0</v>
      </c>
      <c r="G19" s="39"/>
      <c r="H19" s="15"/>
      <c r="I19" s="15"/>
      <c r="J19" s="15"/>
      <c r="K19" s="15"/>
      <c r="L19" s="15"/>
      <c r="M19" s="15"/>
      <c r="N19" s="15"/>
      <c r="O19" s="15"/>
      <c r="P19" s="15"/>
      <c r="Q19" s="15"/>
      <c r="R19" s="15"/>
      <c r="S19" s="15"/>
    </row>
    <row r="20">
      <c r="A20" s="15"/>
      <c r="B20" s="15"/>
      <c r="C20" s="15"/>
      <c r="D20" s="15"/>
      <c r="E20" s="15"/>
      <c r="F20" s="15"/>
      <c r="G20" s="15"/>
      <c r="H20" s="15"/>
      <c r="I20" s="15"/>
      <c r="J20" s="15"/>
      <c r="K20" s="15"/>
      <c r="L20" s="15"/>
      <c r="M20" s="15"/>
      <c r="N20" s="15"/>
      <c r="O20" s="15"/>
      <c r="P20" s="15"/>
      <c r="Q20" s="15"/>
      <c r="R20" s="15"/>
      <c r="S20" s="15"/>
    </row>
    <row r="21">
      <c r="A21" s="15"/>
      <c r="B21" s="15"/>
      <c r="C21" s="15"/>
      <c r="D21" s="15"/>
      <c r="E21" s="15"/>
      <c r="F21" s="15"/>
      <c r="G21" s="15"/>
      <c r="H21" s="15"/>
      <c r="I21" s="15"/>
      <c r="J21" s="15"/>
      <c r="K21" s="15"/>
      <c r="L21" s="15"/>
      <c r="M21" s="15"/>
      <c r="N21" s="15"/>
      <c r="O21" s="15"/>
      <c r="P21" s="15"/>
      <c r="Q21" s="15"/>
      <c r="R21" s="15"/>
      <c r="S21" s="15"/>
    </row>
    <row r="22">
      <c r="A22" s="41" t="s">
        <v>103</v>
      </c>
      <c r="B22" s="41" t="s">
        <v>113</v>
      </c>
      <c r="C22" s="41" t="s">
        <v>114</v>
      </c>
      <c r="D22" s="41" t="s">
        <v>115</v>
      </c>
      <c r="E22" s="15"/>
      <c r="F22" s="15"/>
      <c r="G22" s="15"/>
      <c r="H22" s="15"/>
      <c r="I22" s="41" t="s">
        <v>105</v>
      </c>
      <c r="J22" s="41" t="s">
        <v>113</v>
      </c>
      <c r="K22" s="41" t="s">
        <v>114</v>
      </c>
      <c r="L22" s="41" t="s">
        <v>115</v>
      </c>
      <c r="M22" s="15"/>
      <c r="N22" s="15"/>
      <c r="O22" s="15"/>
      <c r="P22" s="15"/>
      <c r="Q22" s="15"/>
      <c r="R22" s="15"/>
      <c r="S22" s="15"/>
    </row>
    <row r="23">
      <c r="A23" s="42" t="s">
        <v>116</v>
      </c>
      <c r="B23" s="43"/>
      <c r="C23" s="43"/>
      <c r="D23" s="44">
        <v>3.0</v>
      </c>
      <c r="E23" s="15"/>
      <c r="F23" s="15"/>
      <c r="G23" s="15"/>
      <c r="H23" s="15"/>
      <c r="I23" s="45" t="s">
        <v>117</v>
      </c>
      <c r="J23" s="44">
        <v>4.0</v>
      </c>
      <c r="K23" s="44">
        <v>1.0</v>
      </c>
      <c r="L23" s="43"/>
      <c r="M23" s="15"/>
      <c r="N23" s="15"/>
      <c r="O23" s="15"/>
      <c r="P23" s="15"/>
      <c r="Q23" s="15"/>
      <c r="R23" s="15"/>
      <c r="S23" s="15"/>
    </row>
    <row r="24">
      <c r="A24" s="42" t="s">
        <v>118</v>
      </c>
      <c r="B24" s="44">
        <v>3.0</v>
      </c>
      <c r="C24" s="44">
        <v>4.0</v>
      </c>
      <c r="D24" s="43"/>
      <c r="E24" s="15"/>
      <c r="F24" s="15"/>
      <c r="G24" s="15"/>
      <c r="H24" s="15"/>
      <c r="I24" s="45" t="s">
        <v>119</v>
      </c>
      <c r="J24" s="43"/>
      <c r="K24" s="44">
        <v>1.0</v>
      </c>
      <c r="L24" s="43"/>
      <c r="M24" s="15"/>
      <c r="N24" s="15"/>
      <c r="O24" s="15"/>
      <c r="P24" s="15"/>
      <c r="Q24" s="15"/>
      <c r="R24" s="15"/>
      <c r="S24" s="15"/>
    </row>
    <row r="25">
      <c r="A25" s="42" t="s">
        <v>120</v>
      </c>
      <c r="B25" s="44">
        <v>2.0</v>
      </c>
      <c r="C25" s="44">
        <v>2.0</v>
      </c>
      <c r="D25" s="44">
        <v>1.0</v>
      </c>
      <c r="E25" s="15"/>
      <c r="F25" s="15"/>
      <c r="G25" s="15"/>
      <c r="H25" s="15"/>
      <c r="I25" s="45" t="s">
        <v>121</v>
      </c>
      <c r="J25" s="44">
        <v>1.0</v>
      </c>
      <c r="K25" s="44">
        <v>2.0</v>
      </c>
      <c r="L25" s="43"/>
      <c r="M25" s="15"/>
      <c r="N25" s="15"/>
      <c r="O25" s="15"/>
      <c r="P25" s="15"/>
      <c r="Q25" s="15"/>
      <c r="R25" s="15"/>
      <c r="S25" s="15"/>
    </row>
    <row r="26">
      <c r="A26" s="42" t="s">
        <v>122</v>
      </c>
      <c r="B26" s="43"/>
      <c r="C26" s="44">
        <v>1.0</v>
      </c>
      <c r="D26" s="44">
        <v>1.0</v>
      </c>
      <c r="E26" s="15"/>
      <c r="F26" s="15"/>
      <c r="G26" s="15"/>
      <c r="H26" s="15"/>
      <c r="I26" s="45" t="s">
        <v>123</v>
      </c>
      <c r="J26" s="44">
        <v>3.0</v>
      </c>
      <c r="K26" s="43"/>
      <c r="L26" s="43"/>
      <c r="M26" s="15"/>
      <c r="N26" s="15"/>
      <c r="O26" s="15"/>
      <c r="P26" s="15"/>
      <c r="Q26" s="15"/>
      <c r="R26" s="15"/>
      <c r="S26" s="15"/>
    </row>
    <row r="27">
      <c r="A27" s="42" t="s">
        <v>124</v>
      </c>
      <c r="B27" s="44">
        <v>1.0</v>
      </c>
      <c r="C27" s="43"/>
      <c r="D27" s="43"/>
      <c r="E27" s="15"/>
      <c r="F27" s="15"/>
      <c r="G27" s="15"/>
      <c r="H27" s="15"/>
      <c r="I27" s="45" t="s">
        <v>125</v>
      </c>
      <c r="J27" s="44">
        <v>1.0</v>
      </c>
      <c r="K27" s="44">
        <v>1.0</v>
      </c>
      <c r="L27" s="43"/>
      <c r="M27" s="15"/>
      <c r="N27" s="15"/>
      <c r="O27" s="15"/>
      <c r="P27" s="15"/>
      <c r="Q27" s="15"/>
      <c r="R27" s="15"/>
      <c r="S27" s="15"/>
    </row>
    <row r="28">
      <c r="A28" s="42" t="s">
        <v>126</v>
      </c>
      <c r="B28" s="43"/>
      <c r="C28" s="44">
        <v>1.0</v>
      </c>
      <c r="D28" s="43"/>
      <c r="E28" s="15"/>
      <c r="F28" s="15"/>
      <c r="G28" s="15"/>
      <c r="H28" s="15"/>
      <c r="I28" s="45" t="s">
        <v>127</v>
      </c>
      <c r="J28" s="43"/>
      <c r="K28" s="44">
        <v>2.0</v>
      </c>
      <c r="L28" s="43"/>
      <c r="M28" s="15"/>
      <c r="N28" s="15"/>
      <c r="O28" s="15"/>
      <c r="P28" s="15"/>
      <c r="Q28" s="15"/>
      <c r="R28" s="15"/>
      <c r="S28" s="15"/>
    </row>
    <row r="29">
      <c r="A29" s="42" t="s">
        <v>128</v>
      </c>
      <c r="B29" s="44">
        <v>2.0</v>
      </c>
      <c r="C29" s="43"/>
      <c r="D29" s="43"/>
      <c r="E29" s="15"/>
      <c r="F29" s="15"/>
      <c r="G29" s="15"/>
      <c r="H29" s="15"/>
      <c r="I29" s="45" t="s">
        <v>129</v>
      </c>
      <c r="J29" s="44">
        <v>1.0</v>
      </c>
      <c r="K29" s="44">
        <v>1.0</v>
      </c>
      <c r="L29" s="43"/>
      <c r="M29" s="15"/>
      <c r="N29" s="15"/>
      <c r="O29" s="15"/>
      <c r="P29" s="15"/>
      <c r="Q29" s="15"/>
      <c r="R29" s="15"/>
      <c r="S29" s="15"/>
    </row>
    <row r="30">
      <c r="A30" s="42" t="s">
        <v>130</v>
      </c>
      <c r="B30" s="43"/>
      <c r="C30" s="43"/>
      <c r="D30" s="44">
        <v>1.0</v>
      </c>
      <c r="E30" s="15"/>
      <c r="F30" s="15"/>
      <c r="G30" s="15"/>
      <c r="H30" s="15"/>
      <c r="I30" s="45" t="s">
        <v>131</v>
      </c>
      <c r="J30" s="44">
        <v>1.0</v>
      </c>
      <c r="K30" s="44">
        <v>1.0</v>
      </c>
      <c r="L30" s="43"/>
      <c r="M30" s="15"/>
      <c r="N30" s="15"/>
      <c r="O30" s="15"/>
      <c r="P30" s="15"/>
      <c r="Q30" s="15"/>
      <c r="R30" s="15"/>
      <c r="S30" s="15"/>
    </row>
    <row r="31">
      <c r="A31" s="42" t="s">
        <v>132</v>
      </c>
      <c r="B31" s="44">
        <v>2.0</v>
      </c>
      <c r="C31" s="43"/>
      <c r="D31" s="43"/>
      <c r="E31" s="15"/>
      <c r="F31" s="15"/>
      <c r="G31" s="15"/>
      <c r="H31" s="15"/>
      <c r="I31" s="45" t="s">
        <v>133</v>
      </c>
      <c r="J31" s="43"/>
      <c r="K31" s="44">
        <v>1.0</v>
      </c>
      <c r="L31" s="43"/>
      <c r="M31" s="15"/>
      <c r="N31" s="15"/>
      <c r="O31" s="15"/>
      <c r="P31" s="15"/>
      <c r="Q31" s="15"/>
      <c r="R31" s="15"/>
      <c r="S31" s="15"/>
    </row>
    <row r="32">
      <c r="A32" s="42" t="s">
        <v>117</v>
      </c>
      <c r="B32" s="44">
        <v>1.0</v>
      </c>
      <c r="C32" s="44">
        <v>1.0</v>
      </c>
      <c r="D32" s="44">
        <v>1.0</v>
      </c>
      <c r="E32" s="15"/>
      <c r="F32" s="15"/>
      <c r="G32" s="15"/>
      <c r="H32" s="15"/>
      <c r="I32" s="45" t="s">
        <v>134</v>
      </c>
      <c r="J32" s="43"/>
      <c r="K32" s="44">
        <v>1.0</v>
      </c>
      <c r="L32" s="44"/>
      <c r="M32" s="15"/>
      <c r="N32" s="15"/>
      <c r="O32" s="15"/>
      <c r="P32" s="15"/>
      <c r="Q32" s="15"/>
      <c r="R32" s="15"/>
      <c r="S32" s="15"/>
    </row>
    <row r="33">
      <c r="A33" s="42" t="s">
        <v>135</v>
      </c>
      <c r="B33" s="43"/>
      <c r="C33" s="43"/>
      <c r="D33" s="44">
        <v>1.0</v>
      </c>
      <c r="E33" s="15"/>
      <c r="F33" s="15"/>
      <c r="G33" s="15"/>
      <c r="H33" s="15"/>
      <c r="I33" s="45" t="s">
        <v>136</v>
      </c>
      <c r="J33" s="43"/>
      <c r="K33" s="43"/>
      <c r="L33" s="44">
        <v>1.0</v>
      </c>
      <c r="M33" s="15"/>
      <c r="N33" s="15"/>
      <c r="O33" s="15"/>
      <c r="P33" s="15"/>
      <c r="Q33" s="15"/>
      <c r="R33" s="15"/>
      <c r="S33" s="15"/>
    </row>
    <row r="34">
      <c r="A34" s="42" t="s">
        <v>137</v>
      </c>
      <c r="B34" s="43"/>
      <c r="C34" s="44">
        <v>1.0</v>
      </c>
      <c r="D34" s="43"/>
      <c r="E34" s="15"/>
      <c r="F34" s="15"/>
      <c r="G34" s="15"/>
      <c r="H34" s="15"/>
      <c r="I34" s="45" t="s">
        <v>138</v>
      </c>
      <c r="J34" s="44">
        <v>1.0</v>
      </c>
      <c r="K34" s="43"/>
      <c r="L34" s="43"/>
      <c r="M34" s="15"/>
      <c r="N34" s="15"/>
      <c r="O34" s="15"/>
      <c r="P34" s="15"/>
      <c r="Q34" s="15"/>
      <c r="R34" s="15"/>
      <c r="S34" s="15"/>
    </row>
    <row r="35">
      <c r="A35" s="15"/>
      <c r="B35" s="43"/>
      <c r="C35" s="43"/>
      <c r="D35" s="43"/>
      <c r="E35" s="15"/>
      <c r="F35" s="15"/>
      <c r="G35" s="15"/>
      <c r="H35" s="15"/>
      <c r="I35" s="45" t="s">
        <v>139</v>
      </c>
      <c r="J35" s="43"/>
      <c r="K35" s="43"/>
      <c r="L35" s="44">
        <v>1.0</v>
      </c>
      <c r="M35" s="15"/>
      <c r="N35" s="15"/>
      <c r="O35" s="15"/>
      <c r="P35" s="15"/>
      <c r="Q35" s="15"/>
      <c r="R35" s="15"/>
      <c r="S35" s="15"/>
    </row>
    <row r="36">
      <c r="A36" s="15"/>
      <c r="B36" s="43">
        <f>SUM(B23:B35)</f>
        <v>11</v>
      </c>
      <c r="C36" s="43"/>
      <c r="D36" s="43"/>
      <c r="E36" s="15"/>
      <c r="F36" s="15"/>
      <c r="G36" s="15"/>
      <c r="H36" s="15"/>
      <c r="I36" s="46"/>
      <c r="J36" s="43"/>
      <c r="K36" s="43"/>
      <c r="L36" s="43"/>
      <c r="M36" s="15"/>
    </row>
    <row r="37">
      <c r="A37" s="15"/>
      <c r="B37" s="15"/>
      <c r="C37" s="15"/>
      <c r="D37" s="15"/>
      <c r="E37" s="15"/>
      <c r="F37" s="15"/>
      <c r="G37" s="15"/>
      <c r="H37" s="15"/>
      <c r="I37" s="43"/>
      <c r="J37" s="43"/>
      <c r="K37" s="43"/>
      <c r="L37" s="43"/>
      <c r="M37" s="15"/>
    </row>
    <row r="38">
      <c r="A38" s="15"/>
      <c r="B38" s="15"/>
      <c r="C38" s="15"/>
      <c r="D38" s="15"/>
      <c r="E38" s="15"/>
      <c r="F38" s="15"/>
      <c r="G38" s="15"/>
      <c r="H38" s="15"/>
      <c r="I38" s="43"/>
      <c r="J38" s="43"/>
      <c r="K38" s="43"/>
      <c r="L38" s="43"/>
      <c r="M38" s="15"/>
    </row>
    <row r="39">
      <c r="A39" s="15"/>
      <c r="B39" s="15"/>
      <c r="C39" s="15"/>
      <c r="D39" s="15"/>
      <c r="E39" s="15"/>
      <c r="F39" s="15"/>
      <c r="G39" s="15"/>
      <c r="H39" s="15"/>
      <c r="I39" s="15"/>
      <c r="J39" s="15">
        <f>SUM(J23:J38)</f>
        <v>12</v>
      </c>
      <c r="K39" s="15"/>
      <c r="L39" s="15"/>
      <c r="M39" s="15"/>
    </row>
    <row r="40">
      <c r="A40" s="15"/>
      <c r="B40" s="15"/>
      <c r="C40" s="15"/>
      <c r="D40" s="15"/>
      <c r="E40" s="15"/>
      <c r="F40" s="15"/>
      <c r="G40" s="15"/>
      <c r="H40" s="15"/>
      <c r="I40" s="15"/>
      <c r="J40" s="15"/>
      <c r="K40" s="15"/>
      <c r="L40" s="15"/>
      <c r="M40" s="15"/>
    </row>
  </sheetData>
  <mergeCells count="3">
    <mergeCell ref="A1:D1"/>
    <mergeCell ref="I1:M1"/>
    <mergeCell ref="I7:M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63"/>
    <col customWidth="1" min="3" max="3" width="3.38"/>
    <col customWidth="1" min="4" max="4" width="4.25"/>
    <col customWidth="1" min="5" max="5" width="11.75"/>
    <col customWidth="1" min="6" max="6" width="3.13"/>
    <col customWidth="1" min="7" max="7" width="4.5"/>
    <col customWidth="1" min="8" max="8" width="7.75"/>
    <col customWidth="1" min="10" max="10" width="22.25"/>
    <col customWidth="1" min="17" max="17" width="199.5"/>
  </cols>
  <sheetData>
    <row r="1">
      <c r="A1" s="47"/>
      <c r="B1" s="47"/>
      <c r="C1" s="47"/>
      <c r="D1" s="47"/>
      <c r="E1" s="47"/>
      <c r="F1" s="47"/>
      <c r="G1" s="47"/>
      <c r="H1" s="47"/>
      <c r="J1" s="48"/>
      <c r="K1" s="49"/>
      <c r="L1" s="50"/>
      <c r="M1" s="50"/>
      <c r="N1" s="50"/>
      <c r="O1" s="50"/>
      <c r="P1" s="50"/>
      <c r="Q1" s="51"/>
    </row>
    <row r="2">
      <c r="A2" s="47"/>
      <c r="B2" s="47"/>
      <c r="C2" s="47"/>
      <c r="D2" s="47"/>
      <c r="E2" s="47"/>
      <c r="F2" s="47"/>
      <c r="G2" s="47"/>
      <c r="H2" s="47"/>
      <c r="J2" s="48"/>
      <c r="K2" s="49"/>
      <c r="L2" s="50"/>
      <c r="M2" s="50"/>
      <c r="N2" s="50"/>
      <c r="O2" s="50"/>
      <c r="P2" s="50"/>
      <c r="Q2" s="51"/>
    </row>
    <row r="3">
      <c r="A3" s="47"/>
      <c r="B3" s="47"/>
      <c r="C3" s="47"/>
      <c r="D3" s="47"/>
      <c r="E3" s="47"/>
      <c r="F3" s="47"/>
      <c r="G3" s="47"/>
      <c r="H3" s="47"/>
      <c r="J3" s="48"/>
      <c r="K3" s="50"/>
      <c r="L3" s="50"/>
      <c r="M3" s="50"/>
      <c r="N3" s="50"/>
      <c r="O3" s="50"/>
      <c r="P3" s="50"/>
      <c r="Q3" s="51"/>
    </row>
    <row r="4">
      <c r="A4" s="47" t="s">
        <v>103</v>
      </c>
      <c r="B4" s="47" t="s">
        <v>140</v>
      </c>
      <c r="C4" s="47" t="s">
        <v>141</v>
      </c>
      <c r="D4" s="47" t="s">
        <v>142</v>
      </c>
      <c r="E4" s="47" t="s">
        <v>143</v>
      </c>
      <c r="F4" s="47" t="s">
        <v>144</v>
      </c>
      <c r="G4" s="47" t="s">
        <v>145</v>
      </c>
      <c r="H4" s="47" t="s">
        <v>146</v>
      </c>
      <c r="J4" s="48" t="s">
        <v>147</v>
      </c>
      <c r="K4" s="1" t="s">
        <v>4</v>
      </c>
      <c r="L4" s="2" t="s">
        <v>5</v>
      </c>
      <c r="M4" s="2" t="s">
        <v>6</v>
      </c>
      <c r="N4" s="2" t="s">
        <v>7</v>
      </c>
      <c r="O4" s="2" t="s">
        <v>8</v>
      </c>
      <c r="P4" s="2" t="s">
        <v>9</v>
      </c>
      <c r="Q4" s="3" t="s">
        <v>10</v>
      </c>
    </row>
    <row r="5">
      <c r="A5" s="42" t="s">
        <v>147</v>
      </c>
      <c r="B5" s="44">
        <v>4.0</v>
      </c>
      <c r="C5" s="44">
        <v>4.0</v>
      </c>
      <c r="D5" s="44">
        <v>18.0</v>
      </c>
      <c r="E5" s="52">
        <v>22.0</v>
      </c>
      <c r="F5" s="44">
        <v>228.0</v>
      </c>
      <c r="G5" s="44">
        <v>172.0</v>
      </c>
      <c r="H5" s="43"/>
      <c r="J5" s="49" t="s">
        <v>19</v>
      </c>
      <c r="K5" s="49">
        <v>15.0</v>
      </c>
      <c r="L5" s="49">
        <v>3.0</v>
      </c>
      <c r="M5" s="49">
        <v>0.0</v>
      </c>
      <c r="N5" s="49">
        <v>4.0</v>
      </c>
      <c r="O5" s="49">
        <v>3.0</v>
      </c>
      <c r="P5" s="49">
        <v>3.0</v>
      </c>
      <c r="Q5" s="49" t="s">
        <v>148</v>
      </c>
    </row>
    <row r="6">
      <c r="A6" s="42" t="s">
        <v>104</v>
      </c>
      <c r="B6" s="44">
        <v>1.0</v>
      </c>
      <c r="C6" s="44">
        <v>4.0</v>
      </c>
      <c r="D6" s="44">
        <v>12.0</v>
      </c>
      <c r="E6" s="44">
        <v>8.0</v>
      </c>
      <c r="F6" s="44">
        <v>208.0</v>
      </c>
      <c r="G6" s="44">
        <v>168.0</v>
      </c>
      <c r="H6" s="15"/>
      <c r="J6" s="53" t="s">
        <v>21</v>
      </c>
      <c r="K6" s="53">
        <v>12.0</v>
      </c>
      <c r="L6" s="53">
        <v>18.0</v>
      </c>
      <c r="M6" s="53">
        <v>1.0</v>
      </c>
      <c r="N6" s="53">
        <v>1.0</v>
      </c>
      <c r="O6" s="53">
        <v>2.0</v>
      </c>
      <c r="P6" s="53">
        <v>3.0</v>
      </c>
      <c r="Q6" s="53" t="s">
        <v>149</v>
      </c>
    </row>
    <row r="7">
      <c r="A7" s="42" t="s">
        <v>37</v>
      </c>
      <c r="B7" s="44">
        <v>6.0</v>
      </c>
      <c r="C7" s="44">
        <v>0.0</v>
      </c>
      <c r="D7" s="44">
        <v>31.0</v>
      </c>
      <c r="E7" s="44">
        <v>19.0</v>
      </c>
      <c r="F7" s="44">
        <v>195.0</v>
      </c>
      <c r="G7" s="44">
        <v>151.0</v>
      </c>
      <c r="H7" s="15"/>
      <c r="J7" s="53" t="s">
        <v>33</v>
      </c>
      <c r="K7" s="53">
        <v>20.0</v>
      </c>
      <c r="L7" s="53">
        <v>24.0</v>
      </c>
      <c r="M7" s="53">
        <v>0.0</v>
      </c>
      <c r="N7" s="53">
        <v>4.0</v>
      </c>
      <c r="O7" s="53">
        <v>5.0</v>
      </c>
      <c r="P7" s="53">
        <v>9.0</v>
      </c>
      <c r="Q7" s="53" t="s">
        <v>150</v>
      </c>
    </row>
    <row r="8">
      <c r="A8" s="42" t="s">
        <v>56</v>
      </c>
      <c r="B8" s="43"/>
      <c r="C8" s="43"/>
      <c r="D8" s="43"/>
      <c r="E8" s="43"/>
      <c r="F8" s="43"/>
      <c r="G8" s="43"/>
      <c r="H8" s="15"/>
      <c r="J8" s="53" t="s">
        <v>151</v>
      </c>
      <c r="K8" s="53">
        <v>35.0</v>
      </c>
      <c r="L8" s="53">
        <v>44.0</v>
      </c>
      <c r="M8" s="53">
        <v>0.0</v>
      </c>
      <c r="N8" s="53">
        <v>12.0</v>
      </c>
      <c r="O8" s="53">
        <v>2.0</v>
      </c>
      <c r="P8" s="53">
        <v>14.0</v>
      </c>
      <c r="Q8" s="53" t="s">
        <v>152</v>
      </c>
    </row>
    <row r="9">
      <c r="A9" s="15"/>
      <c r="B9" s="15"/>
      <c r="C9" s="15"/>
      <c r="D9" s="15"/>
      <c r="E9" s="15"/>
      <c r="F9" s="15"/>
      <c r="G9" s="15"/>
      <c r="H9" s="15"/>
      <c r="J9" s="53" t="s">
        <v>81</v>
      </c>
      <c r="K9" s="53">
        <v>29.0</v>
      </c>
      <c r="L9" s="53">
        <v>33.0</v>
      </c>
      <c r="M9" s="53">
        <v>0.0</v>
      </c>
      <c r="N9" s="53">
        <v>3.0</v>
      </c>
      <c r="O9" s="53">
        <v>5.0</v>
      </c>
      <c r="P9" s="53">
        <v>8.0</v>
      </c>
      <c r="Q9" s="53" t="s">
        <v>153</v>
      </c>
    </row>
    <row r="10">
      <c r="A10" s="15"/>
      <c r="B10" s="15"/>
      <c r="C10" s="15"/>
      <c r="D10" s="15"/>
      <c r="E10" s="15"/>
      <c r="F10" s="15"/>
      <c r="G10" s="15"/>
      <c r="H10" s="15"/>
      <c r="J10" s="53" t="s">
        <v>24</v>
      </c>
      <c r="K10" s="53">
        <v>17.0</v>
      </c>
      <c r="L10" s="53">
        <v>1.0</v>
      </c>
      <c r="M10" s="53">
        <v>0.0</v>
      </c>
      <c r="N10" s="53">
        <v>2.0</v>
      </c>
      <c r="O10" s="53">
        <v>2.0</v>
      </c>
      <c r="P10" s="53">
        <v>4.0</v>
      </c>
      <c r="Q10" s="53" t="s">
        <v>154</v>
      </c>
    </row>
    <row r="11">
      <c r="A11" s="15"/>
      <c r="B11" s="15"/>
      <c r="C11" s="15"/>
      <c r="D11" s="15"/>
      <c r="E11" s="15"/>
      <c r="F11" s="15"/>
      <c r="G11" s="15"/>
      <c r="H11" s="15"/>
      <c r="J11" s="53" t="s">
        <v>155</v>
      </c>
      <c r="K11" s="53">
        <v>13.0</v>
      </c>
      <c r="L11" s="53">
        <v>17.0</v>
      </c>
      <c r="M11" s="53">
        <v>2.0</v>
      </c>
      <c r="N11" s="53">
        <v>2.0</v>
      </c>
      <c r="O11" s="53">
        <v>1.0</v>
      </c>
      <c r="P11" s="53">
        <v>3.0</v>
      </c>
      <c r="Q11" s="53" t="s">
        <v>156</v>
      </c>
    </row>
    <row r="12">
      <c r="A12" s="15"/>
      <c r="B12" s="15"/>
      <c r="C12" s="15"/>
      <c r="D12" s="15"/>
      <c r="E12" s="15"/>
      <c r="F12" s="15"/>
      <c r="G12" s="15"/>
      <c r="H12" s="15"/>
      <c r="J12" s="53" t="s">
        <v>29</v>
      </c>
      <c r="K12" s="53">
        <v>11.0</v>
      </c>
      <c r="L12" s="53">
        <v>15.0</v>
      </c>
      <c r="M12" s="53">
        <v>0.0</v>
      </c>
      <c r="N12" s="53">
        <v>5.0</v>
      </c>
      <c r="O12" s="53">
        <v>0.0</v>
      </c>
      <c r="P12" s="53">
        <v>5.0</v>
      </c>
      <c r="Q12" s="53" t="s">
        <v>157</v>
      </c>
    </row>
    <row r="13">
      <c r="A13" s="15"/>
      <c r="B13" s="15"/>
      <c r="C13" s="15"/>
      <c r="D13" s="15"/>
      <c r="E13" s="15"/>
      <c r="F13" s="15"/>
      <c r="G13" s="15"/>
      <c r="H13" s="15"/>
      <c r="J13" s="53" t="s">
        <v>47</v>
      </c>
      <c r="K13" s="53">
        <v>11.0</v>
      </c>
      <c r="L13" s="53">
        <v>17.0</v>
      </c>
      <c r="M13" s="53">
        <v>1.0</v>
      </c>
      <c r="N13" s="53">
        <v>0.0</v>
      </c>
      <c r="O13" s="53">
        <v>3.0</v>
      </c>
      <c r="P13" s="53">
        <v>3.0</v>
      </c>
      <c r="Q13" s="53" t="s">
        <v>158</v>
      </c>
    </row>
    <row r="14">
      <c r="A14" s="15"/>
      <c r="B14" s="15"/>
      <c r="C14" s="15"/>
      <c r="D14" s="15"/>
      <c r="E14" s="15"/>
      <c r="F14" s="15"/>
      <c r="G14" s="15"/>
      <c r="H14" s="15"/>
      <c r="J14" s="53" t="s">
        <v>159</v>
      </c>
      <c r="K14" s="53">
        <v>14.0</v>
      </c>
      <c r="L14" s="53">
        <v>21.0</v>
      </c>
      <c r="M14" s="53">
        <v>4.0</v>
      </c>
      <c r="N14" s="53">
        <v>4.0</v>
      </c>
      <c r="O14" s="53">
        <v>4.0</v>
      </c>
      <c r="P14" s="53">
        <v>8.0</v>
      </c>
      <c r="Q14" s="53" t="s">
        <v>160</v>
      </c>
    </row>
    <row r="15">
      <c r="A15" s="15"/>
      <c r="B15" s="15"/>
      <c r="C15" s="15"/>
      <c r="D15" s="15"/>
      <c r="E15" s="15"/>
      <c r="F15" s="15"/>
      <c r="G15" s="15"/>
      <c r="H15" s="15"/>
      <c r="J15" s="53" t="s">
        <v>161</v>
      </c>
      <c r="K15" s="53">
        <v>14.0</v>
      </c>
      <c r="L15" s="53">
        <v>18.0</v>
      </c>
      <c r="M15" s="53">
        <v>2.0</v>
      </c>
      <c r="N15" s="53">
        <v>5.0</v>
      </c>
      <c r="O15" s="53">
        <v>4.0</v>
      </c>
      <c r="P15" s="53">
        <v>9.0</v>
      </c>
      <c r="Q15" s="53" t="s">
        <v>162</v>
      </c>
    </row>
    <row r="16">
      <c r="A16" s="15"/>
      <c r="B16" s="15"/>
      <c r="C16" s="15"/>
      <c r="D16" s="15"/>
      <c r="E16" s="15"/>
      <c r="F16" s="15"/>
      <c r="G16" s="15"/>
      <c r="H16" s="15"/>
      <c r="J16" s="53" t="s">
        <v>163</v>
      </c>
      <c r="K16" s="53">
        <v>5.0</v>
      </c>
      <c r="L16" s="53">
        <v>8.0</v>
      </c>
      <c r="M16" s="53">
        <v>2.0</v>
      </c>
      <c r="N16" s="53">
        <v>0.0</v>
      </c>
      <c r="O16" s="53">
        <v>0.0</v>
      </c>
      <c r="P16" s="53">
        <v>0.0</v>
      </c>
      <c r="Q16" s="53" t="s">
        <v>164</v>
      </c>
    </row>
    <row r="17">
      <c r="A17" s="15"/>
      <c r="B17" s="15"/>
      <c r="C17" s="15"/>
      <c r="D17" s="15"/>
      <c r="E17" s="15"/>
      <c r="F17" s="15"/>
      <c r="G17" s="15"/>
      <c r="H17" s="15"/>
      <c r="J17" s="53" t="s">
        <v>84</v>
      </c>
      <c r="K17" s="53">
        <v>15.0</v>
      </c>
      <c r="L17" s="53">
        <v>18.0</v>
      </c>
      <c r="M17" s="53">
        <v>1.0</v>
      </c>
      <c r="N17" s="53">
        <v>0.0</v>
      </c>
      <c r="O17" s="53">
        <v>0.0</v>
      </c>
      <c r="P17" s="53">
        <v>0.0</v>
      </c>
      <c r="Q17" s="53" t="s">
        <v>165</v>
      </c>
    </row>
    <row r="18">
      <c r="J18" s="53" t="s">
        <v>62</v>
      </c>
      <c r="K18" s="53">
        <v>26.0</v>
      </c>
      <c r="L18" s="53">
        <v>29.0</v>
      </c>
      <c r="M18" s="53">
        <v>1.0</v>
      </c>
      <c r="N18" s="53">
        <v>1.0</v>
      </c>
      <c r="O18" s="53">
        <v>1.0</v>
      </c>
      <c r="P18" s="53">
        <v>2.0</v>
      </c>
      <c r="Q18" s="53" t="s">
        <v>166</v>
      </c>
    </row>
    <row r="19">
      <c r="J19" s="53" t="s">
        <v>167</v>
      </c>
      <c r="K19" s="53">
        <v>10.0</v>
      </c>
      <c r="L19" s="53">
        <v>13.0</v>
      </c>
      <c r="M19" s="53">
        <v>1.0</v>
      </c>
      <c r="N19" s="53">
        <v>2.0</v>
      </c>
      <c r="O19" s="53">
        <v>4.0</v>
      </c>
      <c r="P19" s="53">
        <v>6.0</v>
      </c>
      <c r="Q19" s="53" t="s">
        <v>168</v>
      </c>
    </row>
    <row r="20">
      <c r="J20" s="53" t="s">
        <v>169</v>
      </c>
      <c r="K20" s="53">
        <v>12.0</v>
      </c>
      <c r="L20" s="53">
        <v>18.0</v>
      </c>
      <c r="M20" s="53">
        <v>1.0</v>
      </c>
      <c r="N20" s="53">
        <v>9.0</v>
      </c>
      <c r="O20" s="53">
        <v>2.0</v>
      </c>
      <c r="P20" s="53">
        <v>11.0</v>
      </c>
      <c r="Q20" s="53" t="s">
        <v>170</v>
      </c>
    </row>
    <row r="21">
      <c r="J21" s="53" t="s">
        <v>35</v>
      </c>
      <c r="K21" s="53">
        <v>24.0</v>
      </c>
      <c r="L21" s="53">
        <v>30.0</v>
      </c>
      <c r="M21" s="53">
        <v>1.0</v>
      </c>
      <c r="N21" s="53">
        <v>13.0</v>
      </c>
      <c r="O21" s="53">
        <v>5.0</v>
      </c>
      <c r="P21" s="53">
        <v>18.0</v>
      </c>
      <c r="Q21" s="53" t="s">
        <v>171</v>
      </c>
    </row>
    <row r="23">
      <c r="J23" s="48" t="s">
        <v>104</v>
      </c>
    </row>
    <row r="24">
      <c r="J24" s="53" t="s">
        <v>19</v>
      </c>
      <c r="K24" s="53">
        <v>16.0</v>
      </c>
      <c r="L24" s="53">
        <v>5.0</v>
      </c>
      <c r="M24" s="53">
        <v>0.0</v>
      </c>
      <c r="N24" s="53">
        <v>6.0</v>
      </c>
      <c r="O24" s="53">
        <v>3.0</v>
      </c>
      <c r="P24" s="53">
        <v>4.0</v>
      </c>
      <c r="Q24" s="53" t="s">
        <v>172</v>
      </c>
    </row>
    <row r="25">
      <c r="J25" s="53" t="s">
        <v>62</v>
      </c>
      <c r="K25" s="53">
        <v>11.0</v>
      </c>
      <c r="L25" s="53">
        <v>15.0</v>
      </c>
      <c r="M25" s="53">
        <v>2.0</v>
      </c>
      <c r="N25" s="53">
        <v>1.0</v>
      </c>
      <c r="O25" s="53">
        <v>1.0</v>
      </c>
      <c r="P25" s="53">
        <v>2.0</v>
      </c>
      <c r="Q25" s="53" t="s">
        <v>173</v>
      </c>
    </row>
    <row r="26">
      <c r="J26" s="53" t="s">
        <v>38</v>
      </c>
      <c r="K26" s="53">
        <v>21.0</v>
      </c>
      <c r="L26" s="53">
        <v>26.0</v>
      </c>
      <c r="M26" s="53">
        <v>0.0</v>
      </c>
      <c r="N26" s="53">
        <v>10.0</v>
      </c>
      <c r="O26" s="53">
        <v>1.0</v>
      </c>
      <c r="P26" s="53">
        <v>11.0</v>
      </c>
      <c r="Q26" s="53" t="s">
        <v>174</v>
      </c>
    </row>
    <row r="27">
      <c r="J27" s="53" t="s">
        <v>24</v>
      </c>
      <c r="K27" s="53">
        <v>6.0</v>
      </c>
      <c r="L27" s="53">
        <v>1.0</v>
      </c>
      <c r="M27" s="53">
        <v>0.0</v>
      </c>
      <c r="N27" s="53">
        <v>2.0</v>
      </c>
      <c r="O27" s="53">
        <v>2.0</v>
      </c>
      <c r="P27" s="53">
        <v>4.0</v>
      </c>
      <c r="Q27" s="53" t="s">
        <v>175</v>
      </c>
    </row>
    <row r="28">
      <c r="J28" s="53" t="s">
        <v>176</v>
      </c>
      <c r="K28" s="53">
        <v>12.0</v>
      </c>
      <c r="L28" s="53">
        <v>16.0</v>
      </c>
      <c r="M28" s="53">
        <v>1.0</v>
      </c>
      <c r="N28" s="53">
        <v>0.0</v>
      </c>
      <c r="O28" s="53">
        <v>0.0</v>
      </c>
      <c r="P28" s="53">
        <v>0.0</v>
      </c>
      <c r="Q28" s="53" t="s">
        <v>177</v>
      </c>
    </row>
    <row r="29">
      <c r="J29" s="53" t="s">
        <v>178</v>
      </c>
      <c r="K29" s="53">
        <v>16.0</v>
      </c>
      <c r="L29" s="53">
        <v>20.0</v>
      </c>
      <c r="M29" s="53">
        <v>0.0</v>
      </c>
      <c r="N29" s="53">
        <v>7.0</v>
      </c>
      <c r="O29" s="53">
        <v>0.0</v>
      </c>
      <c r="P29" s="53">
        <v>7.0</v>
      </c>
      <c r="Q29" s="53" t="s">
        <v>179</v>
      </c>
    </row>
    <row r="30">
      <c r="J30" s="53" t="s">
        <v>21</v>
      </c>
      <c r="K30" s="53">
        <v>8.0</v>
      </c>
      <c r="L30" s="53">
        <v>14.0</v>
      </c>
      <c r="M30" s="53">
        <v>2.0</v>
      </c>
      <c r="N30" s="53">
        <v>2.0</v>
      </c>
      <c r="O30" s="53">
        <v>1.0</v>
      </c>
      <c r="P30" s="53">
        <v>3.0</v>
      </c>
      <c r="Q30" s="53" t="s">
        <v>180</v>
      </c>
    </row>
    <row r="31">
      <c r="J31" s="53" t="s">
        <v>181</v>
      </c>
      <c r="K31" s="53">
        <v>7.0</v>
      </c>
      <c r="L31" s="53">
        <v>12.0</v>
      </c>
      <c r="M31" s="53">
        <v>2.0</v>
      </c>
      <c r="N31" s="53">
        <v>1.0</v>
      </c>
      <c r="O31" s="53">
        <v>1.0</v>
      </c>
      <c r="P31" s="53">
        <v>2.0</v>
      </c>
      <c r="Q31" s="53" t="s">
        <v>182</v>
      </c>
    </row>
    <row r="32">
      <c r="J32" s="53" t="s">
        <v>183</v>
      </c>
      <c r="K32" s="53">
        <v>5.0</v>
      </c>
      <c r="L32" s="53">
        <v>8.0</v>
      </c>
      <c r="M32" s="53">
        <v>0.0</v>
      </c>
      <c r="N32" s="53">
        <v>3.0</v>
      </c>
      <c r="O32" s="53">
        <v>1.0</v>
      </c>
      <c r="P32" s="53">
        <v>4.0</v>
      </c>
      <c r="Q32" s="53" t="s">
        <v>184</v>
      </c>
    </row>
    <row r="33">
      <c r="J33" s="53" t="s">
        <v>84</v>
      </c>
      <c r="K33" s="53">
        <v>14.0</v>
      </c>
      <c r="L33" s="53">
        <v>18.0</v>
      </c>
      <c r="M33" s="53">
        <v>0.0</v>
      </c>
      <c r="N33" s="53">
        <v>2.0</v>
      </c>
      <c r="O33" s="53">
        <v>1.0</v>
      </c>
      <c r="P33" s="53">
        <v>3.0</v>
      </c>
      <c r="Q33" s="53" t="s">
        <v>185</v>
      </c>
    </row>
    <row r="34">
      <c r="J34" s="53" t="s">
        <v>159</v>
      </c>
      <c r="K34" s="53">
        <v>8.0</v>
      </c>
      <c r="L34" s="53">
        <v>10.0</v>
      </c>
      <c r="M34" s="53">
        <v>0.0</v>
      </c>
      <c r="N34" s="53">
        <v>5.0</v>
      </c>
      <c r="O34" s="53">
        <v>2.0</v>
      </c>
      <c r="P34" s="53">
        <v>8.0</v>
      </c>
      <c r="Q34" s="53" t="s">
        <v>186</v>
      </c>
    </row>
    <row r="35">
      <c r="J35" s="53" t="s">
        <v>163</v>
      </c>
      <c r="K35" s="53">
        <v>6.0</v>
      </c>
      <c r="L35" s="53">
        <v>2.0</v>
      </c>
      <c r="M35" s="53">
        <v>3.0</v>
      </c>
      <c r="N35" s="53">
        <v>1.0</v>
      </c>
      <c r="O35" s="53">
        <v>1.0</v>
      </c>
      <c r="P35" s="53">
        <v>2.0</v>
      </c>
      <c r="Q35" s="53" t="s">
        <v>187</v>
      </c>
    </row>
    <row r="36">
      <c r="J36" s="53" t="s">
        <v>52</v>
      </c>
      <c r="K36" s="53">
        <v>19.0</v>
      </c>
      <c r="L36" s="53">
        <v>24.0</v>
      </c>
      <c r="M36" s="53">
        <v>1.0</v>
      </c>
      <c r="N36" s="53">
        <v>2.0</v>
      </c>
      <c r="O36" s="53">
        <v>4.0</v>
      </c>
      <c r="P36" s="53">
        <v>6.0</v>
      </c>
      <c r="Q36" s="53" t="s">
        <v>188</v>
      </c>
    </row>
    <row r="37">
      <c r="J37" s="53" t="s">
        <v>35</v>
      </c>
      <c r="K37" s="53">
        <v>15.0</v>
      </c>
      <c r="L37" s="53">
        <v>20.0</v>
      </c>
      <c r="M37" s="53">
        <v>0.0</v>
      </c>
      <c r="N37" s="53">
        <v>12.0</v>
      </c>
      <c r="O37" s="53">
        <v>4.0</v>
      </c>
      <c r="P37" s="53">
        <v>16.0</v>
      </c>
      <c r="Q37" s="53" t="s">
        <v>189</v>
      </c>
    </row>
    <row r="38">
      <c r="J38" s="53" t="s">
        <v>33</v>
      </c>
      <c r="K38" s="53">
        <v>15.0</v>
      </c>
      <c r="L38" s="53">
        <v>19.0</v>
      </c>
      <c r="M38" s="53">
        <v>0.0</v>
      </c>
      <c r="N38" s="53">
        <v>5.0</v>
      </c>
      <c r="O38" s="53">
        <v>2.0</v>
      </c>
      <c r="P38" s="53">
        <v>7.0</v>
      </c>
      <c r="Q38" s="53" t="s">
        <v>190</v>
      </c>
    </row>
  </sheetData>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0"/>
    <col customWidth="1" min="3" max="3" width="2.13"/>
    <col customWidth="1" min="4" max="4" width="4.63"/>
    <col customWidth="1" min="5" max="5" width="11.75"/>
    <col customWidth="1" min="6" max="6" width="3.75"/>
    <col customWidth="1" min="7" max="7" width="4.5"/>
    <col customWidth="1" min="8" max="8" width="7.75"/>
    <col customWidth="1" min="11" max="11" width="26.5"/>
    <col customWidth="1" min="18" max="18" width="75.25"/>
  </cols>
  <sheetData>
    <row r="1">
      <c r="A1" s="47" t="s">
        <v>104</v>
      </c>
      <c r="B1" s="47" t="s">
        <v>140</v>
      </c>
      <c r="C1" s="47" t="s">
        <v>141</v>
      </c>
      <c r="D1" s="47" t="s">
        <v>142</v>
      </c>
      <c r="E1" s="47" t="s">
        <v>143</v>
      </c>
      <c r="F1" s="47" t="s">
        <v>144</v>
      </c>
      <c r="G1" s="47" t="s">
        <v>145</v>
      </c>
      <c r="H1" s="47" t="s">
        <v>146</v>
      </c>
      <c r="J1" s="1" t="s">
        <v>2</v>
      </c>
      <c r="K1" s="2" t="s">
        <v>3</v>
      </c>
      <c r="L1" s="2" t="s">
        <v>4</v>
      </c>
      <c r="M1" s="2" t="s">
        <v>5</v>
      </c>
      <c r="N1" s="2" t="s">
        <v>6</v>
      </c>
      <c r="O1" s="2" t="s">
        <v>7</v>
      </c>
      <c r="P1" s="2" t="s">
        <v>8</v>
      </c>
      <c r="Q1" s="2" t="s">
        <v>9</v>
      </c>
      <c r="R1" s="3" t="s">
        <v>10</v>
      </c>
    </row>
    <row r="2">
      <c r="A2" s="53" t="s">
        <v>103</v>
      </c>
      <c r="B2" s="53">
        <v>4.0</v>
      </c>
      <c r="C2" s="53">
        <v>1.0</v>
      </c>
      <c r="D2" s="53">
        <v>27.0</v>
      </c>
      <c r="E2" s="53">
        <v>11.0</v>
      </c>
      <c r="F2" s="53">
        <v>226.0</v>
      </c>
      <c r="G2" s="53">
        <v>177.0</v>
      </c>
      <c r="K2" s="53" t="s">
        <v>191</v>
      </c>
      <c r="L2" s="53">
        <v>16.0</v>
      </c>
      <c r="M2" s="53">
        <v>16.0</v>
      </c>
      <c r="N2" s="53">
        <v>0.0</v>
      </c>
      <c r="O2" s="53">
        <v>10.0</v>
      </c>
      <c r="P2" s="53">
        <v>1.0</v>
      </c>
      <c r="Q2" s="53">
        <v>11.0</v>
      </c>
      <c r="R2" s="53" t="s">
        <v>192</v>
      </c>
    </row>
    <row r="3">
      <c r="K3" s="53" t="s">
        <v>193</v>
      </c>
      <c r="L3" s="53">
        <v>12.0</v>
      </c>
      <c r="M3" s="53">
        <v>1.0</v>
      </c>
      <c r="N3" s="53">
        <v>4.0</v>
      </c>
      <c r="O3" s="53">
        <v>0.0</v>
      </c>
      <c r="P3" s="53">
        <v>4.0</v>
      </c>
      <c r="Q3" s="53">
        <v>4.0</v>
      </c>
      <c r="R3" s="53" t="s">
        <v>194</v>
      </c>
    </row>
    <row r="4">
      <c r="K4" s="53" t="s">
        <v>195</v>
      </c>
      <c r="L4" s="53">
        <v>14.0</v>
      </c>
      <c r="M4" s="53">
        <v>15.0</v>
      </c>
      <c r="N4" s="53">
        <v>3.0</v>
      </c>
      <c r="O4" s="53">
        <v>0.0</v>
      </c>
      <c r="P4" s="53">
        <v>0.0</v>
      </c>
      <c r="Q4" s="53">
        <v>0.0</v>
      </c>
      <c r="R4" s="53" t="s">
        <v>196</v>
      </c>
    </row>
    <row r="5">
      <c r="K5" s="53" t="s">
        <v>197</v>
      </c>
      <c r="L5" s="53">
        <v>27.0</v>
      </c>
      <c r="M5" s="53">
        <v>4.0</v>
      </c>
      <c r="N5" s="53">
        <v>31.0</v>
      </c>
      <c r="O5" s="53">
        <v>6.0</v>
      </c>
      <c r="P5" s="53">
        <v>5.0</v>
      </c>
      <c r="Q5" s="53">
        <v>11.0</v>
      </c>
      <c r="R5" s="53" t="s">
        <v>198</v>
      </c>
    </row>
    <row r="6">
      <c r="K6" s="53" t="s">
        <v>199</v>
      </c>
      <c r="L6" s="53">
        <v>18.0</v>
      </c>
      <c r="M6" s="53">
        <v>21.0</v>
      </c>
      <c r="N6" s="53">
        <v>0.0</v>
      </c>
      <c r="O6" s="53">
        <v>4.0</v>
      </c>
      <c r="P6" s="53">
        <v>4.0</v>
      </c>
      <c r="Q6" s="53">
        <v>8.0</v>
      </c>
      <c r="R6" s="53" t="s">
        <v>200</v>
      </c>
    </row>
    <row r="7">
      <c r="K7" s="53" t="s">
        <v>201</v>
      </c>
      <c r="L7" s="53">
        <v>34.0</v>
      </c>
      <c r="M7" s="53">
        <v>1.0</v>
      </c>
      <c r="N7" s="53">
        <v>1.0</v>
      </c>
      <c r="O7" s="53">
        <v>9.0</v>
      </c>
      <c r="P7" s="53">
        <v>1.0</v>
      </c>
      <c r="Q7" s="53">
        <v>10.0</v>
      </c>
      <c r="R7" s="53" t="s">
        <v>202</v>
      </c>
    </row>
    <row r="8">
      <c r="K8" s="53" t="s">
        <v>203</v>
      </c>
      <c r="L8" s="53">
        <v>20.0</v>
      </c>
      <c r="M8" s="53">
        <v>24.0</v>
      </c>
      <c r="N8" s="53">
        <v>0.0</v>
      </c>
      <c r="O8" s="53">
        <v>3.0</v>
      </c>
      <c r="P8" s="53">
        <v>6.0</v>
      </c>
      <c r="Q8" s="53">
        <v>9.0</v>
      </c>
      <c r="R8" s="53" t="s">
        <v>204</v>
      </c>
    </row>
    <row r="9">
      <c r="K9" s="53" t="s">
        <v>205</v>
      </c>
      <c r="L9" s="53">
        <v>15.0</v>
      </c>
      <c r="M9" s="53">
        <v>17.0</v>
      </c>
      <c r="N9" s="53">
        <v>0.0</v>
      </c>
      <c r="O9" s="53">
        <v>12.0</v>
      </c>
      <c r="P9" s="53">
        <v>2.0</v>
      </c>
      <c r="Q9" s="53">
        <v>14.0</v>
      </c>
      <c r="R9" s="53" t="s">
        <v>206</v>
      </c>
    </row>
    <row r="10">
      <c r="K10" s="53" t="s">
        <v>207</v>
      </c>
      <c r="L10" s="53">
        <v>7.0</v>
      </c>
      <c r="M10" s="53">
        <v>8.0</v>
      </c>
      <c r="N10" s="53">
        <v>3.0</v>
      </c>
      <c r="O10" s="53">
        <v>1.0</v>
      </c>
      <c r="P10" s="53">
        <v>5.0</v>
      </c>
      <c r="Q10" s="53">
        <v>6.0</v>
      </c>
      <c r="R10" s="53" t="s">
        <v>208</v>
      </c>
    </row>
    <row r="11">
      <c r="K11" s="53" t="s">
        <v>209</v>
      </c>
      <c r="L11" s="53">
        <v>34.0</v>
      </c>
      <c r="M11" s="53">
        <v>39.0</v>
      </c>
      <c r="N11" s="53">
        <v>0.0</v>
      </c>
      <c r="O11" s="53">
        <v>4.0</v>
      </c>
      <c r="P11" s="53">
        <v>4.0</v>
      </c>
      <c r="Q11" s="53">
        <v>8.0</v>
      </c>
      <c r="R11" s="53" t="s">
        <v>210</v>
      </c>
    </row>
    <row r="12">
      <c r="J12" s="54"/>
      <c r="K12" s="53" t="s">
        <v>191</v>
      </c>
      <c r="L12" s="53">
        <v>16.0</v>
      </c>
      <c r="M12" s="53">
        <v>16.0</v>
      </c>
      <c r="N12" s="53">
        <v>0.0</v>
      </c>
      <c r="O12" s="53">
        <v>10.0</v>
      </c>
      <c r="P12" s="53">
        <v>1.0</v>
      </c>
      <c r="Q12" s="53">
        <v>11.0</v>
      </c>
      <c r="R12" s="53" t="s">
        <v>192</v>
      </c>
    </row>
    <row r="13">
      <c r="J13" s="54"/>
      <c r="K13" s="53" t="s">
        <v>193</v>
      </c>
      <c r="L13" s="53">
        <v>12.0</v>
      </c>
      <c r="M13" s="53">
        <v>1.0</v>
      </c>
      <c r="N13" s="53">
        <v>4.0</v>
      </c>
      <c r="O13" s="53">
        <v>0.0</v>
      </c>
      <c r="P13" s="53">
        <v>4.0</v>
      </c>
      <c r="Q13" s="53">
        <v>4.0</v>
      </c>
      <c r="R13" s="53" t="s">
        <v>194</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0"/>
    <col customWidth="1" min="3" max="3" width="2.13"/>
    <col customWidth="1" min="4" max="4" width="4.63"/>
    <col customWidth="1" min="5" max="5" width="11.75"/>
    <col customWidth="1" min="6" max="6" width="3.13"/>
    <col customWidth="1" min="7" max="7" width="7.75"/>
    <col customWidth="1" min="9" max="9" width="22.88"/>
    <col customWidth="1" min="10" max="10" width="29.5"/>
    <col customWidth="1" min="11" max="11" width="48.5"/>
    <col customWidth="1" min="12" max="12" width="19.5"/>
    <col customWidth="1" min="16" max="16" width="55.0"/>
  </cols>
  <sheetData>
    <row r="1">
      <c r="A1" s="47" t="s">
        <v>105</v>
      </c>
      <c r="B1" s="47" t="s">
        <v>140</v>
      </c>
      <c r="C1" s="47" t="s">
        <v>141</v>
      </c>
      <c r="D1" s="47" t="s">
        <v>142</v>
      </c>
      <c r="E1" s="47" t="s">
        <v>143</v>
      </c>
      <c r="F1" s="47" t="s">
        <v>144</v>
      </c>
      <c r="G1" s="47" t="s">
        <v>145</v>
      </c>
      <c r="I1" s="1" t="s">
        <v>3</v>
      </c>
      <c r="J1" s="2" t="s">
        <v>4</v>
      </c>
      <c r="K1" s="2" t="s">
        <v>5</v>
      </c>
      <c r="L1" s="2" t="s">
        <v>6</v>
      </c>
      <c r="M1" s="2" t="s">
        <v>7</v>
      </c>
      <c r="N1" s="2" t="s">
        <v>8</v>
      </c>
      <c r="O1" s="2" t="s">
        <v>9</v>
      </c>
      <c r="P1" s="3" t="s">
        <v>10</v>
      </c>
    </row>
    <row r="2">
      <c r="A2" s="42" t="s">
        <v>147</v>
      </c>
      <c r="B2" s="44">
        <v>3.0</v>
      </c>
      <c r="C2" s="44">
        <v>3.0</v>
      </c>
      <c r="D2" s="44">
        <v>8.0</v>
      </c>
      <c r="E2" s="43">
        <f>B2/8*100</f>
        <v>37.5</v>
      </c>
      <c r="F2" s="44">
        <v>256.0</v>
      </c>
      <c r="G2" s="44">
        <v>150.0</v>
      </c>
      <c r="I2" s="55" t="s">
        <v>211</v>
      </c>
      <c r="J2" s="5">
        <v>6.0</v>
      </c>
      <c r="K2" s="5">
        <v>9.0</v>
      </c>
      <c r="L2" s="5">
        <v>1.0</v>
      </c>
      <c r="M2" s="5">
        <v>1.0</v>
      </c>
      <c r="N2" s="5">
        <v>1.0</v>
      </c>
      <c r="O2" s="5">
        <v>2.0</v>
      </c>
      <c r="P2" s="6" t="s">
        <v>212</v>
      </c>
    </row>
    <row r="3">
      <c r="A3" s="42" t="s">
        <v>213</v>
      </c>
      <c r="B3" s="44">
        <v>7.0</v>
      </c>
      <c r="C3" s="44">
        <v>2.0</v>
      </c>
      <c r="D3" s="44">
        <v>21.0</v>
      </c>
      <c r="E3" s="44">
        <v>19.0</v>
      </c>
      <c r="F3" s="44">
        <v>284.0</v>
      </c>
      <c r="G3" s="44">
        <v>175.0</v>
      </c>
      <c r="I3" s="56" t="s">
        <v>214</v>
      </c>
      <c r="J3" s="8">
        <v>32.0</v>
      </c>
      <c r="K3" s="8">
        <v>37.0</v>
      </c>
      <c r="L3" s="8">
        <v>2.0</v>
      </c>
      <c r="M3" s="8">
        <v>7.0</v>
      </c>
      <c r="N3" s="8">
        <v>10.0</v>
      </c>
      <c r="O3" s="8">
        <v>17.0</v>
      </c>
      <c r="P3" s="9" t="s">
        <v>215</v>
      </c>
    </row>
    <row r="4">
      <c r="A4" s="42" t="s">
        <v>216</v>
      </c>
      <c r="B4" s="44">
        <v>2.0</v>
      </c>
      <c r="C4" s="44">
        <v>5.0</v>
      </c>
      <c r="D4" s="44">
        <v>23.0</v>
      </c>
      <c r="E4" s="44">
        <v>9.0</v>
      </c>
      <c r="F4" s="44">
        <v>255.0</v>
      </c>
      <c r="G4" s="44">
        <v>151.0</v>
      </c>
      <c r="I4" s="55" t="s">
        <v>217</v>
      </c>
      <c r="J4" s="5">
        <v>15.0</v>
      </c>
      <c r="K4" s="5">
        <v>17.0</v>
      </c>
      <c r="L4" s="5">
        <v>0.0</v>
      </c>
      <c r="M4" s="5">
        <v>1.0</v>
      </c>
      <c r="N4" s="5">
        <v>2.0</v>
      </c>
      <c r="O4" s="5">
        <v>3.0</v>
      </c>
      <c r="P4" s="6" t="s">
        <v>218</v>
      </c>
    </row>
    <row r="5">
      <c r="A5" s="15"/>
      <c r="B5" s="43"/>
      <c r="C5" s="43"/>
      <c r="D5" s="43"/>
      <c r="E5" s="43"/>
      <c r="F5" s="43"/>
      <c r="G5" s="43"/>
      <c r="I5" s="56" t="s">
        <v>219</v>
      </c>
      <c r="J5" s="8">
        <v>5.0</v>
      </c>
      <c r="K5" s="8">
        <v>6.0</v>
      </c>
      <c r="L5" s="8">
        <v>3.0</v>
      </c>
      <c r="M5" s="8">
        <v>0.0</v>
      </c>
      <c r="N5" s="8">
        <v>0.0</v>
      </c>
      <c r="O5" s="8">
        <v>0.0</v>
      </c>
      <c r="P5" s="9" t="s">
        <v>220</v>
      </c>
    </row>
    <row r="6">
      <c r="A6" s="15"/>
      <c r="B6" s="43"/>
      <c r="C6" s="43"/>
      <c r="D6" s="43"/>
      <c r="E6" s="43"/>
      <c r="F6" s="43"/>
      <c r="G6" s="43"/>
      <c r="I6" s="55" t="s">
        <v>221</v>
      </c>
      <c r="J6" s="5">
        <v>17.0</v>
      </c>
      <c r="K6" s="5">
        <v>22.0</v>
      </c>
      <c r="L6" s="5">
        <v>0.0</v>
      </c>
      <c r="M6" s="5">
        <v>10.0</v>
      </c>
      <c r="N6" s="5">
        <v>2.0</v>
      </c>
      <c r="O6" s="5">
        <v>12.0</v>
      </c>
      <c r="P6" s="6" t="s">
        <v>222</v>
      </c>
    </row>
    <row r="7">
      <c r="A7" s="15"/>
      <c r="B7" s="43"/>
      <c r="C7" s="43"/>
      <c r="D7" s="43"/>
      <c r="E7" s="43"/>
      <c r="F7" s="43"/>
      <c r="G7" s="43"/>
      <c r="I7" s="56" t="s">
        <v>223</v>
      </c>
      <c r="J7" s="8">
        <v>7.0</v>
      </c>
      <c r="K7" s="8">
        <v>11.0</v>
      </c>
      <c r="L7" s="8">
        <v>0.0</v>
      </c>
      <c r="M7" s="8">
        <v>2.0</v>
      </c>
      <c r="N7" s="8">
        <v>1.0</v>
      </c>
      <c r="O7" s="8">
        <v>3.0</v>
      </c>
      <c r="P7" s="9" t="s">
        <v>224</v>
      </c>
    </row>
    <row r="8">
      <c r="A8" s="15"/>
      <c r="B8" s="43"/>
      <c r="C8" s="43"/>
      <c r="D8" s="43"/>
      <c r="E8" s="43"/>
      <c r="F8" s="43"/>
      <c r="G8" s="43"/>
      <c r="I8" s="55" t="s">
        <v>225</v>
      </c>
      <c r="J8" s="5">
        <v>32.0</v>
      </c>
      <c r="K8" s="5">
        <v>40.0</v>
      </c>
      <c r="L8" s="5">
        <v>0.0</v>
      </c>
      <c r="M8" s="5">
        <v>14.0</v>
      </c>
      <c r="N8" s="5">
        <v>1.0</v>
      </c>
      <c r="O8" s="5">
        <v>15.0</v>
      </c>
      <c r="P8" s="6" t="s">
        <v>226</v>
      </c>
    </row>
    <row r="9">
      <c r="A9" s="15"/>
      <c r="B9" s="43"/>
      <c r="C9" s="43"/>
      <c r="D9" s="43"/>
      <c r="E9" s="43"/>
      <c r="F9" s="43"/>
      <c r="G9" s="43"/>
      <c r="I9" s="56" t="s">
        <v>227</v>
      </c>
      <c r="J9" s="8">
        <v>16.0</v>
      </c>
      <c r="K9" s="8">
        <v>17.0</v>
      </c>
      <c r="L9" s="8">
        <v>0.0</v>
      </c>
      <c r="M9" s="8">
        <v>5.0</v>
      </c>
      <c r="N9" s="8">
        <v>5.0</v>
      </c>
      <c r="O9" s="8">
        <v>10.0</v>
      </c>
      <c r="P9" s="9" t="s">
        <v>228</v>
      </c>
    </row>
    <row r="10">
      <c r="A10" s="15"/>
      <c r="B10" s="43"/>
      <c r="C10" s="43"/>
      <c r="D10" s="43"/>
      <c r="E10" s="43"/>
      <c r="F10" s="43"/>
      <c r="G10" s="43"/>
      <c r="I10" s="55" t="s">
        <v>203</v>
      </c>
      <c r="J10" s="5">
        <v>21.0</v>
      </c>
      <c r="K10" s="5">
        <v>23.0</v>
      </c>
      <c r="L10" s="5">
        <v>2.0</v>
      </c>
      <c r="M10" s="5">
        <v>3.0</v>
      </c>
      <c r="N10" s="5">
        <v>4.0</v>
      </c>
      <c r="O10" s="5">
        <v>7.0</v>
      </c>
      <c r="P10" s="6" t="s">
        <v>229</v>
      </c>
    </row>
    <row r="11">
      <c r="A11" s="15"/>
      <c r="B11" s="43"/>
      <c r="C11" s="43"/>
      <c r="D11" s="43"/>
      <c r="E11" s="43"/>
      <c r="F11" s="43"/>
      <c r="G11" s="43"/>
      <c r="I11" s="56" t="s">
        <v>230</v>
      </c>
      <c r="J11" s="8">
        <v>45.0</v>
      </c>
      <c r="K11" s="8">
        <v>51.0</v>
      </c>
      <c r="L11" s="8">
        <v>0.0</v>
      </c>
      <c r="M11" s="8">
        <v>8.0</v>
      </c>
      <c r="N11" s="8">
        <v>1.0</v>
      </c>
      <c r="O11" s="8">
        <v>9.0</v>
      </c>
      <c r="P11" s="9" t="s">
        <v>231</v>
      </c>
    </row>
    <row r="12">
      <c r="A12" s="15"/>
      <c r="B12" s="43"/>
      <c r="C12" s="43"/>
      <c r="D12" s="43"/>
      <c r="E12" s="43"/>
      <c r="F12" s="43"/>
      <c r="G12" s="43"/>
      <c r="I12" s="55" t="s">
        <v>232</v>
      </c>
      <c r="J12" s="5">
        <v>12.0</v>
      </c>
      <c r="K12" s="5">
        <v>14.0</v>
      </c>
      <c r="L12" s="5">
        <v>0.0</v>
      </c>
      <c r="M12" s="5">
        <v>6.0</v>
      </c>
      <c r="N12" s="5">
        <v>2.0</v>
      </c>
      <c r="O12" s="5">
        <v>8.0</v>
      </c>
      <c r="P12" s="6" t="s">
        <v>233</v>
      </c>
    </row>
    <row r="13">
      <c r="A13" s="15"/>
      <c r="B13" s="43"/>
      <c r="C13" s="43"/>
      <c r="D13" s="43"/>
      <c r="E13" s="43"/>
      <c r="F13" s="43"/>
      <c r="G13" s="43"/>
      <c r="I13" s="56" t="s">
        <v>234</v>
      </c>
      <c r="J13" s="8">
        <v>15.0</v>
      </c>
      <c r="K13" s="8">
        <v>18.0</v>
      </c>
      <c r="L13" s="8">
        <v>1.0</v>
      </c>
      <c r="M13" s="8">
        <v>2.0</v>
      </c>
      <c r="N13" s="8">
        <v>3.0</v>
      </c>
      <c r="O13" s="8">
        <v>5.0</v>
      </c>
      <c r="P13" s="9" t="s">
        <v>235</v>
      </c>
    </row>
    <row r="14">
      <c r="A14" s="15"/>
      <c r="B14" s="43"/>
      <c r="C14" s="43"/>
      <c r="D14" s="43"/>
      <c r="E14" s="43"/>
      <c r="F14" s="43"/>
      <c r="G14" s="43"/>
      <c r="I14" s="55" t="s">
        <v>236</v>
      </c>
      <c r="J14" s="5">
        <v>12.0</v>
      </c>
      <c r="K14" s="5">
        <v>2.0</v>
      </c>
      <c r="L14" s="5">
        <v>1.0</v>
      </c>
      <c r="M14" s="5">
        <v>4.0</v>
      </c>
      <c r="N14" s="5">
        <v>2.0</v>
      </c>
      <c r="O14" s="5">
        <v>6.0</v>
      </c>
      <c r="P14" s="6" t="s">
        <v>237</v>
      </c>
    </row>
    <row r="15">
      <c r="A15" s="15"/>
      <c r="B15" s="43"/>
      <c r="C15" s="43"/>
      <c r="D15" s="43"/>
      <c r="E15" s="43"/>
      <c r="F15" s="43"/>
      <c r="G15" s="43"/>
      <c r="I15" s="57" t="s">
        <v>238</v>
      </c>
      <c r="J15" s="12">
        <v>11.0</v>
      </c>
      <c r="K15" s="12">
        <v>14.0</v>
      </c>
      <c r="L15" s="12">
        <v>3.0</v>
      </c>
      <c r="M15" s="12">
        <v>2.0</v>
      </c>
      <c r="N15" s="12">
        <v>3.0</v>
      </c>
      <c r="O15" s="12">
        <v>5.0</v>
      </c>
      <c r="P15" s="13" t="s">
        <v>239</v>
      </c>
    </row>
    <row r="16">
      <c r="A16" s="15"/>
      <c r="B16" s="43"/>
      <c r="C16" s="43"/>
      <c r="D16" s="43"/>
      <c r="E16" s="43"/>
      <c r="F16" s="43"/>
      <c r="G16" s="43"/>
    </row>
    <row r="17">
      <c r="A17" s="15"/>
      <c r="B17" s="43"/>
      <c r="C17" s="43"/>
      <c r="D17" s="43"/>
      <c r="E17" s="43"/>
      <c r="F17" s="43"/>
      <c r="G17" s="43"/>
    </row>
    <row r="18">
      <c r="A18" s="15"/>
      <c r="B18" s="43"/>
      <c r="C18" s="43"/>
      <c r="D18" s="43"/>
      <c r="E18" s="43"/>
      <c r="F18" s="43"/>
      <c r="G18" s="43"/>
    </row>
    <row r="19">
      <c r="A19" s="15"/>
      <c r="B19" s="43"/>
      <c r="C19" s="43"/>
      <c r="D19" s="43"/>
      <c r="E19" s="43"/>
      <c r="F19" s="43"/>
      <c r="G19" s="43"/>
    </row>
    <row r="20">
      <c r="A20" s="15"/>
      <c r="B20" s="43"/>
      <c r="C20" s="43"/>
      <c r="D20" s="43"/>
      <c r="E20" s="43"/>
      <c r="F20" s="43"/>
      <c r="G20" s="43"/>
    </row>
    <row r="21">
      <c r="A21" s="15"/>
      <c r="B21" s="43"/>
      <c r="C21" s="43"/>
      <c r="D21" s="43"/>
      <c r="E21" s="43"/>
      <c r="F21" s="43"/>
      <c r="G21" s="43"/>
    </row>
    <row r="22">
      <c r="A22" s="15"/>
      <c r="B22" s="43"/>
      <c r="C22" s="43"/>
      <c r="D22" s="43"/>
      <c r="E22" s="43"/>
      <c r="F22" s="43"/>
      <c r="G22" s="43"/>
    </row>
    <row r="23">
      <c r="B23" s="58"/>
      <c r="C23" s="58"/>
      <c r="D23" s="58"/>
      <c r="E23" s="58"/>
      <c r="F23" s="58"/>
      <c r="G23" s="58"/>
    </row>
    <row r="24">
      <c r="B24" s="58"/>
      <c r="C24" s="58"/>
      <c r="D24" s="58"/>
      <c r="E24" s="58"/>
      <c r="F24" s="58"/>
      <c r="G24" s="58"/>
    </row>
    <row r="25">
      <c r="B25" s="58"/>
      <c r="C25" s="58"/>
      <c r="D25" s="58"/>
      <c r="E25" s="58"/>
      <c r="F25" s="58"/>
      <c r="G25" s="58"/>
    </row>
    <row r="26">
      <c r="B26" s="58"/>
      <c r="C26" s="58"/>
      <c r="D26" s="58"/>
      <c r="E26" s="58"/>
      <c r="F26" s="58"/>
      <c r="G26" s="58"/>
    </row>
    <row r="27">
      <c r="B27" s="58"/>
      <c r="C27" s="58"/>
      <c r="D27" s="58"/>
      <c r="E27" s="58"/>
      <c r="F27" s="58"/>
      <c r="G27" s="58"/>
    </row>
    <row r="28">
      <c r="B28" s="58"/>
      <c r="C28" s="58"/>
      <c r="D28" s="58"/>
      <c r="E28" s="58"/>
      <c r="F28" s="58"/>
      <c r="G28" s="58"/>
    </row>
    <row r="29">
      <c r="B29" s="58"/>
      <c r="C29" s="58"/>
      <c r="D29" s="58"/>
      <c r="E29" s="58"/>
      <c r="F29" s="58"/>
      <c r="G29" s="58"/>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