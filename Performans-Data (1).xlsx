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flem1105\Documents\"/>
    </mc:Choice>
  </mc:AlternateContent>
  <xr:revisionPtr revIDLastSave="0" documentId="8_{6033E1D5-1C0E-4D9A-B65E-144B0DC1050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24-25" sheetId="1" r:id="rId1"/>
    <sheet name="25-26" sheetId="2" r:id="rId2"/>
    <sheet name="FC Skanderbor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" i="2"/>
  <c r="E138" i="1"/>
  <c r="E139" i="1"/>
  <c r="E140" i="1"/>
  <c r="E141" i="1"/>
  <c r="E142" i="1"/>
  <c r="E143" i="1"/>
  <c r="E144" i="1"/>
  <c r="E145" i="1"/>
  <c r="E1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J2" i="1"/>
  <c r="K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8" i="1"/>
  <c r="E9" i="1"/>
  <c r="E10" i="1"/>
  <c r="E11" i="1"/>
  <c r="E3" i="1"/>
  <c r="E4" i="1"/>
  <c r="E5" i="1"/>
  <c r="E6" i="1"/>
  <c r="E7" i="1"/>
  <c r="I2" i="1"/>
  <c r="G2" i="1"/>
  <c r="E2" i="1"/>
</calcChain>
</file>

<file path=xl/sharedStrings.xml><?xml version="1.0" encoding="utf-8"?>
<sst xmlns="http://schemas.openxmlformats.org/spreadsheetml/2006/main" count="650" uniqueCount="155">
  <si>
    <t>Navn</t>
  </si>
  <si>
    <t>Øvelse</t>
  </si>
  <si>
    <t>1.PR</t>
  </si>
  <si>
    <t>2.PR</t>
  </si>
  <si>
    <t>%-stigning</t>
  </si>
  <si>
    <t>3.PR</t>
  </si>
  <si>
    <t>4. PR</t>
  </si>
  <si>
    <t>Samlet kg</t>
  </si>
  <si>
    <t>samlet i %</t>
  </si>
  <si>
    <t>Abdi</t>
  </si>
  <si>
    <t>Bænk</t>
  </si>
  <si>
    <t>Data overført fra tidligere PR</t>
  </si>
  <si>
    <t>Dødløft</t>
  </si>
  <si>
    <t>Squat</t>
  </si>
  <si>
    <t>Ahmad A</t>
  </si>
  <si>
    <t>Andreas</t>
  </si>
  <si>
    <t>Anne</t>
  </si>
  <si>
    <t>Bastian</t>
  </si>
  <si>
    <t>Viborg</t>
  </si>
  <si>
    <t>Sejr</t>
  </si>
  <si>
    <t>Christine</t>
  </si>
  <si>
    <t>Conrad</t>
  </si>
  <si>
    <t>Elias Friis</t>
  </si>
  <si>
    <t>Elliot</t>
  </si>
  <si>
    <t>Klinke</t>
  </si>
  <si>
    <t>Emilie</t>
  </si>
  <si>
    <t>Ianis</t>
  </si>
  <si>
    <t>Ibrahim</t>
  </si>
  <si>
    <t>Ida</t>
  </si>
  <si>
    <t>Isak</t>
  </si>
  <si>
    <t>Jakob</t>
  </si>
  <si>
    <t>Standby</t>
  </si>
  <si>
    <t>Johannes</t>
  </si>
  <si>
    <t>Lind</t>
  </si>
  <si>
    <t>Mads</t>
  </si>
  <si>
    <t>Schøne</t>
  </si>
  <si>
    <t>Wessel</t>
  </si>
  <si>
    <t>Lambek</t>
  </si>
  <si>
    <t>Marius</t>
  </si>
  <si>
    <t>Jelsing</t>
  </si>
  <si>
    <t>Max</t>
  </si>
  <si>
    <t>Mo</t>
  </si>
  <si>
    <t>Musse</t>
  </si>
  <si>
    <t>Noah Dagø</t>
  </si>
  <si>
    <t>Dam</t>
  </si>
  <si>
    <t>Krøyer</t>
  </si>
  <si>
    <t>Dalgaard</t>
  </si>
  <si>
    <t>Nissen</t>
  </si>
  <si>
    <t>Halberg</t>
  </si>
  <si>
    <t>Betak</t>
  </si>
  <si>
    <t>Storm</t>
  </si>
  <si>
    <t>,</t>
  </si>
  <si>
    <t>Sabra</t>
  </si>
  <si>
    <t>Tais</t>
  </si>
  <si>
    <t>Thomas</t>
  </si>
  <si>
    <t>Torp</t>
  </si>
  <si>
    <t>Victor</t>
  </si>
  <si>
    <t>Bertelsen</t>
  </si>
  <si>
    <t>Yousef</t>
  </si>
  <si>
    <t>Raun</t>
  </si>
  <si>
    <t>Yuunis</t>
  </si>
  <si>
    <t>Nyholm</t>
  </si>
  <si>
    <t>Adam</t>
  </si>
  <si>
    <t>Allesandro</t>
  </si>
  <si>
    <t>Alexander Bach</t>
  </si>
  <si>
    <t>Leth</t>
  </si>
  <si>
    <t>Alfred</t>
  </si>
  <si>
    <t>Benjamin</t>
  </si>
  <si>
    <t>Bertram</t>
  </si>
  <si>
    <t>Carl</t>
  </si>
  <si>
    <t>Delovan</t>
  </si>
  <si>
    <t>Ditte</t>
  </si>
  <si>
    <t>Danne</t>
  </si>
  <si>
    <t>Emil Stender</t>
  </si>
  <si>
    <t>Felix</t>
  </si>
  <si>
    <t>Zacho</t>
  </si>
  <si>
    <t>Parst</t>
  </si>
  <si>
    <t>Frederik Schmidt</t>
  </si>
  <si>
    <t>Holger</t>
  </si>
  <si>
    <t>Ida Sofie</t>
  </si>
  <si>
    <t>Ida-Mai</t>
  </si>
  <si>
    <t>Isabella</t>
  </si>
  <si>
    <t>Jakob Stubbe</t>
  </si>
  <si>
    <t>josefine larsen</t>
  </si>
  <si>
    <t>rasmus frederiksen</t>
  </si>
  <si>
    <t>noah bruhn</t>
  </si>
  <si>
    <t>malthe olesen</t>
  </si>
  <si>
    <t>wiliam krabsen</t>
  </si>
  <si>
    <t>silas ljatifi</t>
  </si>
  <si>
    <t>thorbjørn o'donnell</t>
  </si>
  <si>
    <t>Emil Rosbjerg</t>
  </si>
  <si>
    <t>kevin leed</t>
  </si>
  <si>
    <t>nadir Arfaoui</t>
  </si>
  <si>
    <t>sander sponholtz</t>
  </si>
  <si>
    <t>linus vangkilde</t>
  </si>
  <si>
    <t>pelle frølund</t>
  </si>
  <si>
    <t>hamza ghannam</t>
  </si>
  <si>
    <t>leon maxharraj</t>
  </si>
  <si>
    <t>Elkjær</t>
  </si>
  <si>
    <t>jonas brændstrup</t>
  </si>
  <si>
    <t>thor sveen</t>
  </si>
  <si>
    <t>oliver stenskjær</t>
  </si>
  <si>
    <t>oliver mortensen</t>
  </si>
  <si>
    <t>wiliam jelsing</t>
  </si>
  <si>
    <t>simon Nielsen</t>
  </si>
  <si>
    <t>alexander falke</t>
  </si>
  <si>
    <t>patrick damsgaard</t>
  </si>
  <si>
    <t>kkenneth brogaard</t>
  </si>
  <si>
    <t>oliver goul</t>
  </si>
  <si>
    <t>adrian barkman</t>
  </si>
  <si>
    <t>sebastian søe</t>
  </si>
  <si>
    <t>isak duffy</t>
  </si>
  <si>
    <t>viliads Robin</t>
  </si>
  <si>
    <t>jakob viskum</t>
  </si>
  <si>
    <t>mikkel Hasager</t>
  </si>
  <si>
    <t>lucas sørensen</t>
  </si>
  <si>
    <t>malik ghonem</t>
  </si>
  <si>
    <t>jeppe pedersen</t>
  </si>
  <si>
    <t xml:space="preserve">yahia younes </t>
  </si>
  <si>
    <t>emil rosbjerg</t>
  </si>
  <si>
    <t>Eske</t>
  </si>
  <si>
    <t>tobias haugaard</t>
  </si>
  <si>
    <t>magnus piilgaard</t>
  </si>
  <si>
    <t>viktor recke</t>
  </si>
  <si>
    <t>bænk</t>
  </si>
  <si>
    <t>mads høstrup</t>
  </si>
  <si>
    <t>jacob hansen</t>
  </si>
  <si>
    <t>mads hougaard</t>
  </si>
  <si>
    <t>marcus østergaard</t>
  </si>
  <si>
    <t>magnus holger</t>
  </si>
  <si>
    <t>jonatahn skovman</t>
  </si>
  <si>
    <t>adam overgaard</t>
  </si>
  <si>
    <t>magnus gosmer</t>
  </si>
  <si>
    <t>william kaastrup</t>
  </si>
  <si>
    <t>Liva</t>
  </si>
  <si>
    <t>Oliver Mandrup</t>
  </si>
  <si>
    <t>Malthe Lee</t>
  </si>
  <si>
    <t>Sletskov</t>
  </si>
  <si>
    <t>Silas Piilgaard</t>
  </si>
  <si>
    <t>Mikkel Brøndum</t>
  </si>
  <si>
    <t>SEB C</t>
  </si>
  <si>
    <t>Anas</t>
  </si>
  <si>
    <t>Jobbe</t>
  </si>
  <si>
    <t>Villads Bertelsen</t>
  </si>
  <si>
    <t>Mads Nyholm</t>
  </si>
  <si>
    <t>Gustav Ravn</t>
  </si>
  <si>
    <t>Kristian Severinsen</t>
  </si>
  <si>
    <t>Villads Damsgaard</t>
  </si>
  <si>
    <t>Emil Thomsen (Tommer)</t>
  </si>
  <si>
    <t>Gustav Frost</t>
  </si>
  <si>
    <t>Gustav Bojer</t>
  </si>
  <si>
    <t>Christian Sejrsen</t>
  </si>
  <si>
    <t>Malthe Lambek</t>
  </si>
  <si>
    <t>Villads Riis</t>
  </si>
  <si>
    <t>Sofus Bryder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</si>
</sst>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6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7" xfId="0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7"/>
  <sheetViews>
    <sheetView zoomScale="115" zoomScaleNormal="115" workbookViewId="0">
      <pane ySplit="1" topLeftCell="A2" activePane="bottomLeft" state="frozen"/>
      <selection pane="bottomLeft" activeCell="L1" sqref="L1"/>
    </sheetView>
  </sheetViews>
  <sheetFormatPr defaultRowHeight="14.45"/>
  <cols>
    <col min="1" max="1" width="10.5703125" bestFit="1" customWidth="1"/>
    <col min="5" max="5" width="11.140625" customWidth="1"/>
    <col min="7" max="7" width="10.42578125" customWidth="1"/>
    <col min="9" max="9" width="10.7109375" customWidth="1"/>
    <col min="10" max="10" width="9.85546875" bestFit="1" customWidth="1"/>
    <col min="11" max="11" width="12.42578125" bestFit="1" customWidth="1"/>
  </cols>
  <sheetData>
    <row r="1" spans="1:13" ht="15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4</v>
      </c>
      <c r="J1" s="2" t="s">
        <v>7</v>
      </c>
      <c r="K1" t="s">
        <v>8</v>
      </c>
    </row>
    <row r="2" spans="1:13" ht="15.6">
      <c r="A2" s="4" t="s">
        <v>9</v>
      </c>
      <c r="B2" s="3" t="s">
        <v>10</v>
      </c>
      <c r="C2" s="2">
        <v>50</v>
      </c>
      <c r="D2" s="2">
        <v>52.5</v>
      </c>
      <c r="E2" s="20">
        <f>(D2-C2)/C2*100</f>
        <v>5</v>
      </c>
      <c r="F2" s="2">
        <v>55</v>
      </c>
      <c r="G2" s="20">
        <f>(F2-D2)/D2*100</f>
        <v>4.7619047619047619</v>
      </c>
      <c r="H2" s="2">
        <v>65</v>
      </c>
      <c r="I2" s="38">
        <f>(H2-F2)/F2*100</f>
        <v>18.181818181818183</v>
      </c>
      <c r="J2" s="39">
        <f>H2-C2</f>
        <v>15</v>
      </c>
      <c r="K2" s="40">
        <f>J2/C2*100</f>
        <v>30</v>
      </c>
      <c r="L2" s="23"/>
      <c r="M2" t="s">
        <v>11</v>
      </c>
    </row>
    <row r="3" spans="1:13" ht="15.6">
      <c r="A3" s="5"/>
      <c r="B3" s="3" t="s">
        <v>12</v>
      </c>
      <c r="C3" s="2">
        <v>90</v>
      </c>
      <c r="D3" s="2">
        <v>100</v>
      </c>
      <c r="E3" s="20">
        <f t="shared" ref="E3:E58" si="0">(D3-C3)/C3*100</f>
        <v>11.111111111111111</v>
      </c>
      <c r="F3" s="2">
        <v>125</v>
      </c>
      <c r="G3" s="20">
        <f t="shared" ref="G3:G66" si="1">(F3-D3)/D3*100</f>
        <v>25</v>
      </c>
      <c r="H3" s="2"/>
      <c r="I3" s="38">
        <f t="shared" ref="I3:I66" si="2">(H3-F3)/F3*100</f>
        <v>-100</v>
      </c>
      <c r="J3" s="39">
        <f t="shared" ref="J3:J66" si="3">H3-C3</f>
        <v>-90</v>
      </c>
      <c r="K3" s="40">
        <f t="shared" ref="K3:K66" si="4">J3/C3*100</f>
        <v>-100</v>
      </c>
    </row>
    <row r="4" spans="1:13" ht="15.6">
      <c r="A4" s="6"/>
      <c r="B4" s="3" t="s">
        <v>13</v>
      </c>
      <c r="C4" s="2">
        <v>70</v>
      </c>
      <c r="D4" s="2">
        <v>95</v>
      </c>
      <c r="E4" s="20">
        <f t="shared" si="0"/>
        <v>35.714285714285715</v>
      </c>
      <c r="F4" s="2"/>
      <c r="G4" s="20">
        <f t="shared" si="1"/>
        <v>-100</v>
      </c>
      <c r="H4" s="2">
        <v>100</v>
      </c>
      <c r="I4" s="38" t="e">
        <f t="shared" si="2"/>
        <v>#DIV/0!</v>
      </c>
      <c r="J4" s="39">
        <f t="shared" si="3"/>
        <v>30</v>
      </c>
      <c r="K4" s="40">
        <f t="shared" si="4"/>
        <v>42.857142857142854</v>
      </c>
    </row>
    <row r="5" spans="1:13" ht="15.6">
      <c r="A5" s="4" t="s">
        <v>14</v>
      </c>
      <c r="B5" s="3" t="s">
        <v>10</v>
      </c>
      <c r="C5" s="2">
        <v>65</v>
      </c>
      <c r="D5" s="2">
        <v>70</v>
      </c>
      <c r="E5" s="20">
        <f t="shared" si="0"/>
        <v>7.6923076923076925</v>
      </c>
      <c r="F5" s="2">
        <v>70</v>
      </c>
      <c r="G5" s="20">
        <f t="shared" si="1"/>
        <v>0</v>
      </c>
      <c r="H5" s="2">
        <v>70</v>
      </c>
      <c r="I5" s="38">
        <f t="shared" si="2"/>
        <v>0</v>
      </c>
      <c r="J5" s="39">
        <f t="shared" si="3"/>
        <v>5</v>
      </c>
      <c r="K5" s="40">
        <f t="shared" si="4"/>
        <v>7.6923076923076925</v>
      </c>
    </row>
    <row r="6" spans="1:13" ht="15.6">
      <c r="A6" s="5"/>
      <c r="B6" s="3" t="s">
        <v>12</v>
      </c>
      <c r="C6" s="2">
        <v>110</v>
      </c>
      <c r="D6" s="2">
        <v>130</v>
      </c>
      <c r="E6" s="20">
        <f t="shared" si="0"/>
        <v>18.181818181818183</v>
      </c>
      <c r="F6" s="2"/>
      <c r="G6" s="20">
        <f t="shared" si="1"/>
        <v>-100</v>
      </c>
      <c r="H6" s="2"/>
      <c r="I6" s="38" t="e">
        <f t="shared" si="2"/>
        <v>#DIV/0!</v>
      </c>
      <c r="J6" s="39">
        <f t="shared" si="3"/>
        <v>-110</v>
      </c>
      <c r="K6" s="40">
        <f t="shared" si="4"/>
        <v>-100</v>
      </c>
    </row>
    <row r="7" spans="1:13" ht="15.6">
      <c r="A7" s="6"/>
      <c r="B7" s="3" t="s">
        <v>13</v>
      </c>
      <c r="C7" s="2">
        <v>95</v>
      </c>
      <c r="D7" s="2">
        <v>110</v>
      </c>
      <c r="E7" s="20">
        <f t="shared" si="0"/>
        <v>15.789473684210526</v>
      </c>
      <c r="F7" s="2"/>
      <c r="G7" s="20">
        <f t="shared" si="1"/>
        <v>-100</v>
      </c>
      <c r="H7" s="2"/>
      <c r="I7" s="38" t="e">
        <f t="shared" si="2"/>
        <v>#DIV/0!</v>
      </c>
      <c r="J7" s="39">
        <f t="shared" si="3"/>
        <v>-95</v>
      </c>
      <c r="K7" s="40">
        <f t="shared" si="4"/>
        <v>-100</v>
      </c>
    </row>
    <row r="8" spans="1:13" ht="15.6">
      <c r="A8" s="8"/>
      <c r="B8" s="3" t="s">
        <v>13</v>
      </c>
      <c r="C8" s="2">
        <v>60</v>
      </c>
      <c r="D8" s="22">
        <v>60</v>
      </c>
      <c r="E8" s="20">
        <f t="shared" si="0"/>
        <v>0</v>
      </c>
      <c r="F8" s="2"/>
      <c r="G8" s="20">
        <f t="shared" si="1"/>
        <v>-100</v>
      </c>
      <c r="H8" s="2"/>
      <c r="I8" s="38" t="e">
        <f t="shared" si="2"/>
        <v>#DIV/0!</v>
      </c>
      <c r="J8" s="39">
        <f t="shared" si="3"/>
        <v>-60</v>
      </c>
      <c r="K8" s="40">
        <f t="shared" si="4"/>
        <v>-100</v>
      </c>
    </row>
    <row r="9" spans="1:13" ht="15.6">
      <c r="A9" s="4" t="s">
        <v>15</v>
      </c>
      <c r="B9" s="3" t="s">
        <v>10</v>
      </c>
      <c r="C9" s="2">
        <v>55</v>
      </c>
      <c r="D9" s="2">
        <v>70</v>
      </c>
      <c r="E9" s="20">
        <f t="shared" si="0"/>
        <v>27.27272727272727</v>
      </c>
      <c r="F9" s="2">
        <v>75</v>
      </c>
      <c r="G9" s="20">
        <f t="shared" si="1"/>
        <v>7.1428571428571423</v>
      </c>
      <c r="H9" s="2">
        <v>75</v>
      </c>
      <c r="I9" s="38">
        <f t="shared" si="2"/>
        <v>0</v>
      </c>
      <c r="J9" s="39">
        <f t="shared" si="3"/>
        <v>20</v>
      </c>
      <c r="K9" s="40">
        <f t="shared" si="4"/>
        <v>36.363636363636367</v>
      </c>
    </row>
    <row r="10" spans="1:13" ht="15.6">
      <c r="A10" s="7"/>
      <c r="B10" s="3" t="s">
        <v>12</v>
      </c>
      <c r="C10" s="2">
        <v>110</v>
      </c>
      <c r="D10" s="2">
        <v>115</v>
      </c>
      <c r="E10" s="20">
        <f t="shared" si="0"/>
        <v>4.5454545454545459</v>
      </c>
      <c r="F10" s="2">
        <v>135</v>
      </c>
      <c r="G10" s="20">
        <f t="shared" si="1"/>
        <v>17.391304347826086</v>
      </c>
      <c r="H10" s="2">
        <v>135</v>
      </c>
      <c r="I10" s="38">
        <f t="shared" si="2"/>
        <v>0</v>
      </c>
      <c r="J10" s="39">
        <f t="shared" si="3"/>
        <v>25</v>
      </c>
      <c r="K10" s="40">
        <f t="shared" si="4"/>
        <v>22.727272727272727</v>
      </c>
    </row>
    <row r="11" spans="1:13" ht="15.6">
      <c r="A11" s="8"/>
      <c r="B11" s="3" t="s">
        <v>13</v>
      </c>
      <c r="C11" s="2">
        <v>80</v>
      </c>
      <c r="D11" s="2">
        <v>95</v>
      </c>
      <c r="E11" s="20">
        <f t="shared" si="0"/>
        <v>18.75</v>
      </c>
      <c r="F11" s="2">
        <v>105</v>
      </c>
      <c r="G11" s="20">
        <f t="shared" si="1"/>
        <v>10.526315789473683</v>
      </c>
      <c r="H11" s="2">
        <v>115</v>
      </c>
      <c r="I11" s="38">
        <f t="shared" si="2"/>
        <v>9.5238095238095237</v>
      </c>
      <c r="J11" s="39">
        <f t="shared" si="3"/>
        <v>35</v>
      </c>
      <c r="K11" s="40">
        <f t="shared" si="4"/>
        <v>43.75</v>
      </c>
    </row>
    <row r="12" spans="1:13" ht="15.6">
      <c r="A12" s="4" t="s">
        <v>16</v>
      </c>
      <c r="B12" s="3" t="s">
        <v>10</v>
      </c>
      <c r="C12" s="2">
        <v>30</v>
      </c>
      <c r="D12" s="2">
        <v>32.5</v>
      </c>
      <c r="E12" s="20">
        <f t="shared" si="0"/>
        <v>8.3333333333333321</v>
      </c>
      <c r="F12" s="2">
        <v>37.5</v>
      </c>
      <c r="G12" s="20">
        <f t="shared" si="1"/>
        <v>15.384615384615385</v>
      </c>
      <c r="H12" s="2">
        <v>37.5</v>
      </c>
      <c r="I12" s="38">
        <f t="shared" si="2"/>
        <v>0</v>
      </c>
      <c r="J12" s="39">
        <f t="shared" si="3"/>
        <v>7.5</v>
      </c>
      <c r="K12" s="40">
        <f t="shared" si="4"/>
        <v>25</v>
      </c>
    </row>
    <row r="13" spans="1:13" ht="15.6">
      <c r="A13" s="5"/>
      <c r="B13" s="3" t="s">
        <v>12</v>
      </c>
      <c r="C13" s="2">
        <v>55</v>
      </c>
      <c r="D13" s="2">
        <v>70</v>
      </c>
      <c r="E13" s="20">
        <f t="shared" si="0"/>
        <v>27.27272727272727</v>
      </c>
      <c r="F13" s="2">
        <v>75</v>
      </c>
      <c r="G13" s="20">
        <f t="shared" si="1"/>
        <v>7.1428571428571423</v>
      </c>
      <c r="H13" s="2">
        <v>80</v>
      </c>
      <c r="I13" s="38">
        <f t="shared" si="2"/>
        <v>6.666666666666667</v>
      </c>
      <c r="J13" s="39">
        <f t="shared" si="3"/>
        <v>25</v>
      </c>
      <c r="K13" s="40">
        <f t="shared" si="4"/>
        <v>45.454545454545453</v>
      </c>
    </row>
    <row r="14" spans="1:13" ht="15.6">
      <c r="A14" s="6"/>
      <c r="B14" s="3" t="s">
        <v>13</v>
      </c>
      <c r="C14" s="2">
        <v>50</v>
      </c>
      <c r="D14" s="2">
        <v>60</v>
      </c>
      <c r="E14" s="20">
        <f t="shared" si="0"/>
        <v>20</v>
      </c>
      <c r="F14" s="2">
        <v>70</v>
      </c>
      <c r="G14" s="20">
        <f t="shared" si="1"/>
        <v>16.666666666666664</v>
      </c>
      <c r="H14" s="2">
        <v>85</v>
      </c>
      <c r="I14" s="38">
        <f t="shared" si="2"/>
        <v>21.428571428571427</v>
      </c>
      <c r="J14" s="39">
        <f t="shared" si="3"/>
        <v>35</v>
      </c>
      <c r="K14" s="40">
        <f t="shared" si="4"/>
        <v>70</v>
      </c>
    </row>
    <row r="15" spans="1:13" ht="15.6">
      <c r="A15" s="4" t="s">
        <v>17</v>
      </c>
      <c r="B15" s="3" t="s">
        <v>10</v>
      </c>
      <c r="C15" s="2">
        <v>35</v>
      </c>
      <c r="D15" s="2">
        <v>40</v>
      </c>
      <c r="E15" s="20">
        <f t="shared" si="0"/>
        <v>14.285714285714285</v>
      </c>
      <c r="F15" s="2">
        <v>40</v>
      </c>
      <c r="G15" s="20">
        <f t="shared" si="1"/>
        <v>0</v>
      </c>
      <c r="H15" s="2"/>
      <c r="I15" s="38">
        <f t="shared" si="2"/>
        <v>-100</v>
      </c>
      <c r="J15" s="39">
        <f t="shared" si="3"/>
        <v>-35</v>
      </c>
      <c r="K15" s="40">
        <f t="shared" si="4"/>
        <v>-100</v>
      </c>
    </row>
    <row r="16" spans="1:13" ht="15.6">
      <c r="A16" s="7"/>
      <c r="B16" s="3" t="s">
        <v>12</v>
      </c>
      <c r="C16" s="2">
        <v>60</v>
      </c>
      <c r="D16" s="2">
        <v>73</v>
      </c>
      <c r="E16" s="20">
        <f t="shared" si="0"/>
        <v>21.666666666666668</v>
      </c>
      <c r="F16" s="2">
        <v>90</v>
      </c>
      <c r="G16" s="20">
        <f t="shared" si="1"/>
        <v>23.287671232876711</v>
      </c>
      <c r="H16" s="2"/>
      <c r="I16" s="38">
        <f t="shared" si="2"/>
        <v>-100</v>
      </c>
      <c r="J16" s="39">
        <f t="shared" si="3"/>
        <v>-60</v>
      </c>
      <c r="K16" s="40">
        <f t="shared" si="4"/>
        <v>-100</v>
      </c>
    </row>
    <row r="17" spans="1:11" ht="15.6">
      <c r="A17" s="8"/>
      <c r="B17" s="3" t="s">
        <v>13</v>
      </c>
      <c r="C17" s="2">
        <v>57.5</v>
      </c>
      <c r="D17" s="2">
        <v>65</v>
      </c>
      <c r="E17" s="20">
        <f t="shared" si="0"/>
        <v>13.043478260869565</v>
      </c>
      <c r="F17" s="2">
        <v>70</v>
      </c>
      <c r="G17" s="20">
        <f t="shared" si="1"/>
        <v>7.6923076923076925</v>
      </c>
      <c r="H17" s="2"/>
      <c r="I17" s="38">
        <f t="shared" si="2"/>
        <v>-100</v>
      </c>
      <c r="J17" s="39">
        <f t="shared" si="3"/>
        <v>-57.5</v>
      </c>
      <c r="K17" s="40">
        <f t="shared" si="4"/>
        <v>-100</v>
      </c>
    </row>
    <row r="18" spans="1:11" ht="15.6">
      <c r="A18" s="4" t="s">
        <v>18</v>
      </c>
      <c r="B18" s="3" t="s">
        <v>10</v>
      </c>
      <c r="C18" s="2">
        <v>80</v>
      </c>
      <c r="D18" s="2">
        <v>85</v>
      </c>
      <c r="E18" s="20">
        <f t="shared" si="0"/>
        <v>6.25</v>
      </c>
      <c r="F18" s="2">
        <v>82.5</v>
      </c>
      <c r="G18" s="20">
        <f t="shared" si="1"/>
        <v>-2.9411764705882351</v>
      </c>
      <c r="H18" s="2">
        <v>85</v>
      </c>
      <c r="I18" s="38">
        <f t="shared" si="2"/>
        <v>3.0303030303030303</v>
      </c>
      <c r="J18" s="39">
        <f t="shared" si="3"/>
        <v>5</v>
      </c>
      <c r="K18" s="40">
        <f t="shared" si="4"/>
        <v>6.25</v>
      </c>
    </row>
    <row r="19" spans="1:11" ht="15.6">
      <c r="A19" s="7"/>
      <c r="B19" s="3" t="s">
        <v>12</v>
      </c>
      <c r="C19" s="2">
        <v>120</v>
      </c>
      <c r="D19" s="2">
        <v>130</v>
      </c>
      <c r="E19" s="20">
        <f t="shared" si="0"/>
        <v>8.3333333333333321</v>
      </c>
      <c r="F19" s="2">
        <v>130</v>
      </c>
      <c r="G19" s="20">
        <f t="shared" si="1"/>
        <v>0</v>
      </c>
      <c r="H19" s="2">
        <v>135</v>
      </c>
      <c r="I19" s="38">
        <f t="shared" si="2"/>
        <v>3.8461538461538463</v>
      </c>
      <c r="J19" s="39">
        <f t="shared" si="3"/>
        <v>15</v>
      </c>
      <c r="K19" s="40">
        <f t="shared" si="4"/>
        <v>12.5</v>
      </c>
    </row>
    <row r="20" spans="1:11" ht="15.6">
      <c r="A20" s="8"/>
      <c r="B20" s="3" t="s">
        <v>13</v>
      </c>
      <c r="C20" s="2">
        <v>80</v>
      </c>
      <c r="D20" s="22">
        <v>80</v>
      </c>
      <c r="E20" s="20">
        <f t="shared" si="0"/>
        <v>0</v>
      </c>
      <c r="F20" s="2"/>
      <c r="G20" s="20">
        <f t="shared" si="1"/>
        <v>-100</v>
      </c>
      <c r="H20" s="2"/>
      <c r="I20" s="38" t="e">
        <f t="shared" si="2"/>
        <v>#DIV/0!</v>
      </c>
      <c r="J20" s="39">
        <f t="shared" si="3"/>
        <v>-80</v>
      </c>
      <c r="K20" s="40">
        <f t="shared" si="4"/>
        <v>-100</v>
      </c>
    </row>
    <row r="21" spans="1:11" ht="15.6">
      <c r="A21" s="9" t="s">
        <v>19</v>
      </c>
      <c r="B21" s="3" t="s">
        <v>10</v>
      </c>
      <c r="C21" s="2">
        <v>42</v>
      </c>
      <c r="D21" s="2">
        <v>55</v>
      </c>
      <c r="E21" s="20">
        <f t="shared" si="0"/>
        <v>30.952380952380953</v>
      </c>
      <c r="F21" s="2">
        <v>62.5</v>
      </c>
      <c r="G21" s="20">
        <f t="shared" si="1"/>
        <v>13.636363636363635</v>
      </c>
      <c r="H21" s="2">
        <v>65</v>
      </c>
      <c r="I21" s="38">
        <f t="shared" si="2"/>
        <v>4</v>
      </c>
      <c r="J21" s="39">
        <f t="shared" si="3"/>
        <v>23</v>
      </c>
      <c r="K21" s="40">
        <f t="shared" si="4"/>
        <v>54.761904761904766</v>
      </c>
    </row>
    <row r="22" spans="1:11" ht="15.6">
      <c r="A22" s="7"/>
      <c r="B22" s="3" t="s">
        <v>12</v>
      </c>
      <c r="C22" s="2">
        <v>80</v>
      </c>
      <c r="D22" s="2">
        <v>85</v>
      </c>
      <c r="E22" s="20">
        <f t="shared" si="0"/>
        <v>6.25</v>
      </c>
      <c r="F22" s="2">
        <v>90</v>
      </c>
      <c r="G22" s="20">
        <f t="shared" si="1"/>
        <v>5.8823529411764701</v>
      </c>
      <c r="H22" s="2">
        <v>95</v>
      </c>
      <c r="I22" s="38">
        <f t="shared" si="2"/>
        <v>5.5555555555555554</v>
      </c>
      <c r="J22" s="39">
        <f t="shared" si="3"/>
        <v>15</v>
      </c>
      <c r="K22" s="40">
        <f t="shared" si="4"/>
        <v>18.75</v>
      </c>
    </row>
    <row r="23" spans="1:11" ht="15.6">
      <c r="A23" s="8"/>
      <c r="B23" s="3" t="s">
        <v>13</v>
      </c>
      <c r="C23" s="2">
        <v>70</v>
      </c>
      <c r="D23" s="2">
        <v>80</v>
      </c>
      <c r="E23" s="20">
        <f t="shared" si="0"/>
        <v>14.285714285714285</v>
      </c>
      <c r="F23" s="2">
        <v>90</v>
      </c>
      <c r="G23" s="20">
        <f t="shared" si="1"/>
        <v>12.5</v>
      </c>
      <c r="H23" s="2">
        <v>97.5</v>
      </c>
      <c r="I23" s="38">
        <f t="shared" si="2"/>
        <v>8.3333333333333321</v>
      </c>
      <c r="J23" s="39">
        <f t="shared" si="3"/>
        <v>27.5</v>
      </c>
      <c r="K23" s="40">
        <f t="shared" si="4"/>
        <v>39.285714285714285</v>
      </c>
    </row>
    <row r="24" spans="1:11" ht="15.6">
      <c r="A24" s="4" t="s">
        <v>20</v>
      </c>
      <c r="B24" s="3" t="s">
        <v>10</v>
      </c>
      <c r="C24" s="2">
        <v>25</v>
      </c>
      <c r="D24" s="2">
        <v>32.5</v>
      </c>
      <c r="E24" s="20">
        <f t="shared" si="0"/>
        <v>30</v>
      </c>
      <c r="F24" s="2">
        <v>35</v>
      </c>
      <c r="G24" s="20">
        <f t="shared" si="1"/>
        <v>7.6923076923076925</v>
      </c>
      <c r="H24" s="2">
        <v>35</v>
      </c>
      <c r="I24" s="38">
        <f t="shared" si="2"/>
        <v>0</v>
      </c>
      <c r="J24" s="39">
        <f t="shared" si="3"/>
        <v>10</v>
      </c>
      <c r="K24" s="40">
        <f t="shared" si="4"/>
        <v>40</v>
      </c>
    </row>
    <row r="25" spans="1:11" ht="15.6">
      <c r="A25" s="7"/>
      <c r="B25" s="3" t="s">
        <v>12</v>
      </c>
      <c r="C25" s="2">
        <v>45</v>
      </c>
      <c r="D25" s="2">
        <v>60</v>
      </c>
      <c r="E25" s="20">
        <f t="shared" si="0"/>
        <v>33.333333333333329</v>
      </c>
      <c r="F25" s="2">
        <v>65</v>
      </c>
      <c r="G25" s="20">
        <f t="shared" si="1"/>
        <v>8.3333333333333321</v>
      </c>
      <c r="H25" s="2">
        <v>70</v>
      </c>
      <c r="I25" s="38">
        <f t="shared" si="2"/>
        <v>7.6923076923076925</v>
      </c>
      <c r="J25" s="39">
        <f t="shared" si="3"/>
        <v>25</v>
      </c>
      <c r="K25" s="40">
        <f t="shared" si="4"/>
        <v>55.555555555555557</v>
      </c>
    </row>
    <row r="26" spans="1:11" ht="15.6">
      <c r="A26" s="8"/>
      <c r="B26" s="3" t="s">
        <v>13</v>
      </c>
      <c r="C26" s="2">
        <v>45</v>
      </c>
      <c r="D26" s="2">
        <v>70</v>
      </c>
      <c r="E26" s="20">
        <f t="shared" si="0"/>
        <v>55.555555555555557</v>
      </c>
      <c r="F26" s="2">
        <v>80</v>
      </c>
      <c r="G26" s="20">
        <f t="shared" si="1"/>
        <v>14.285714285714285</v>
      </c>
      <c r="H26" s="2">
        <v>90</v>
      </c>
      <c r="I26" s="38">
        <f t="shared" si="2"/>
        <v>12.5</v>
      </c>
      <c r="J26" s="39">
        <f t="shared" si="3"/>
        <v>45</v>
      </c>
      <c r="K26" s="40">
        <f t="shared" si="4"/>
        <v>100</v>
      </c>
    </row>
    <row r="27" spans="1:11" ht="15.6">
      <c r="A27" s="4" t="s">
        <v>21</v>
      </c>
      <c r="B27" s="3" t="s">
        <v>10</v>
      </c>
      <c r="C27" s="2">
        <v>55</v>
      </c>
      <c r="D27" s="2">
        <v>65</v>
      </c>
      <c r="E27" s="20">
        <f t="shared" si="0"/>
        <v>18.181818181818183</v>
      </c>
      <c r="F27" s="2">
        <v>65</v>
      </c>
      <c r="G27" s="20">
        <f t="shared" si="1"/>
        <v>0</v>
      </c>
      <c r="H27" s="2">
        <v>67.5</v>
      </c>
      <c r="I27" s="38">
        <f t="shared" si="2"/>
        <v>3.8461538461538463</v>
      </c>
      <c r="J27" s="39">
        <f t="shared" si="3"/>
        <v>12.5</v>
      </c>
      <c r="K27" s="40">
        <f t="shared" si="4"/>
        <v>22.727272727272727</v>
      </c>
    </row>
    <row r="28" spans="1:11" ht="15.6">
      <c r="A28" s="7"/>
      <c r="B28" s="3" t="s">
        <v>12</v>
      </c>
      <c r="C28" s="2">
        <v>95</v>
      </c>
      <c r="D28" s="2">
        <v>105</v>
      </c>
      <c r="E28" s="20">
        <f t="shared" si="0"/>
        <v>10.526315789473683</v>
      </c>
      <c r="F28" s="2">
        <v>105</v>
      </c>
      <c r="G28" s="20">
        <f t="shared" si="1"/>
        <v>0</v>
      </c>
      <c r="H28" s="2"/>
      <c r="I28" s="38">
        <f t="shared" si="2"/>
        <v>-100</v>
      </c>
      <c r="J28" s="39">
        <f t="shared" si="3"/>
        <v>-95</v>
      </c>
      <c r="K28" s="40">
        <f t="shared" si="4"/>
        <v>-100</v>
      </c>
    </row>
    <row r="29" spans="1:11" ht="15.6">
      <c r="A29" s="8"/>
      <c r="B29" s="3" t="s">
        <v>13</v>
      </c>
      <c r="C29" s="2">
        <v>80</v>
      </c>
      <c r="D29" s="2">
        <v>100</v>
      </c>
      <c r="E29" s="20">
        <f t="shared" si="0"/>
        <v>25</v>
      </c>
      <c r="F29" s="2">
        <v>105</v>
      </c>
      <c r="G29" s="20">
        <f t="shared" si="1"/>
        <v>5</v>
      </c>
      <c r="H29" s="2"/>
      <c r="I29" s="38">
        <f t="shared" si="2"/>
        <v>-100</v>
      </c>
      <c r="J29" s="39">
        <f t="shared" si="3"/>
        <v>-80</v>
      </c>
      <c r="K29" s="40">
        <f t="shared" si="4"/>
        <v>-100</v>
      </c>
    </row>
    <row r="30" spans="1:11" ht="15.6">
      <c r="A30" s="4" t="s">
        <v>22</v>
      </c>
      <c r="B30" s="3" t="s">
        <v>10</v>
      </c>
      <c r="C30" s="2">
        <v>57.5</v>
      </c>
      <c r="D30" s="2">
        <v>60</v>
      </c>
      <c r="E30" s="20">
        <f t="shared" si="0"/>
        <v>4.3478260869565215</v>
      </c>
      <c r="F30" s="2">
        <v>60</v>
      </c>
      <c r="G30" s="20">
        <f t="shared" si="1"/>
        <v>0</v>
      </c>
      <c r="H30" s="2">
        <v>70</v>
      </c>
      <c r="I30" s="38">
        <f t="shared" si="2"/>
        <v>16.666666666666664</v>
      </c>
      <c r="J30" s="39">
        <f t="shared" si="3"/>
        <v>12.5</v>
      </c>
      <c r="K30" s="40">
        <f t="shared" si="4"/>
        <v>21.739130434782609</v>
      </c>
    </row>
    <row r="31" spans="1:11" ht="15.6">
      <c r="A31" s="7"/>
      <c r="B31" s="3" t="s">
        <v>12</v>
      </c>
      <c r="C31" s="2">
        <v>95</v>
      </c>
      <c r="D31" s="2">
        <v>100</v>
      </c>
      <c r="E31" s="20">
        <f t="shared" si="0"/>
        <v>5.2631578947368416</v>
      </c>
      <c r="F31" s="2">
        <v>100</v>
      </c>
      <c r="G31" s="20">
        <f t="shared" si="1"/>
        <v>0</v>
      </c>
      <c r="H31" s="2"/>
      <c r="I31" s="38">
        <f t="shared" si="2"/>
        <v>-100</v>
      </c>
      <c r="J31" s="39">
        <f t="shared" si="3"/>
        <v>-95</v>
      </c>
      <c r="K31" s="40">
        <f t="shared" si="4"/>
        <v>-100</v>
      </c>
    </row>
    <row r="32" spans="1:11" ht="15.6">
      <c r="A32" s="8"/>
      <c r="B32" s="3" t="s">
        <v>13</v>
      </c>
      <c r="C32" s="2">
        <v>95</v>
      </c>
      <c r="D32" s="2">
        <v>110</v>
      </c>
      <c r="E32" s="20">
        <f t="shared" si="0"/>
        <v>15.789473684210526</v>
      </c>
      <c r="F32" s="2">
        <v>115</v>
      </c>
      <c r="G32" s="20">
        <f t="shared" si="1"/>
        <v>4.5454545454545459</v>
      </c>
      <c r="H32" s="2">
        <v>120</v>
      </c>
      <c r="I32" s="38">
        <f t="shared" si="2"/>
        <v>4.3478260869565215</v>
      </c>
      <c r="J32" s="39">
        <f t="shared" si="3"/>
        <v>25</v>
      </c>
      <c r="K32" s="40">
        <f t="shared" si="4"/>
        <v>26.315789473684209</v>
      </c>
    </row>
    <row r="33" spans="1:11" ht="15.6">
      <c r="A33" s="4" t="s">
        <v>23</v>
      </c>
      <c r="B33" s="3" t="s">
        <v>10</v>
      </c>
      <c r="C33" s="2">
        <v>47</v>
      </c>
      <c r="D33" s="22">
        <v>47</v>
      </c>
      <c r="E33" s="20">
        <f t="shared" si="0"/>
        <v>0</v>
      </c>
      <c r="F33" s="2">
        <v>57.5</v>
      </c>
      <c r="G33" s="20">
        <f t="shared" si="1"/>
        <v>22.340425531914892</v>
      </c>
      <c r="H33" s="2"/>
      <c r="I33" s="38">
        <f t="shared" si="2"/>
        <v>-100</v>
      </c>
      <c r="J33" s="39">
        <f t="shared" si="3"/>
        <v>-47</v>
      </c>
      <c r="K33" s="40">
        <f t="shared" si="4"/>
        <v>-100</v>
      </c>
    </row>
    <row r="34" spans="1:11" ht="15.6">
      <c r="A34" s="7"/>
      <c r="B34" s="3" t="s">
        <v>12</v>
      </c>
      <c r="C34" s="2">
        <v>110</v>
      </c>
      <c r="D34" s="22">
        <v>110</v>
      </c>
      <c r="E34" s="20">
        <f t="shared" si="0"/>
        <v>0</v>
      </c>
      <c r="F34" s="2">
        <v>130</v>
      </c>
      <c r="G34" s="20">
        <f t="shared" si="1"/>
        <v>18.181818181818183</v>
      </c>
      <c r="H34" s="2">
        <v>130</v>
      </c>
      <c r="I34" s="38">
        <f t="shared" si="2"/>
        <v>0</v>
      </c>
      <c r="J34" s="39">
        <f t="shared" si="3"/>
        <v>20</v>
      </c>
      <c r="K34" s="40">
        <f t="shared" si="4"/>
        <v>18.181818181818183</v>
      </c>
    </row>
    <row r="35" spans="1:11" ht="15.6">
      <c r="A35" s="8"/>
      <c r="B35" s="3" t="s">
        <v>13</v>
      </c>
      <c r="C35" s="2">
        <v>100</v>
      </c>
      <c r="D35" s="22">
        <v>100</v>
      </c>
      <c r="E35" s="20">
        <f t="shared" si="0"/>
        <v>0</v>
      </c>
      <c r="F35" s="2">
        <v>130</v>
      </c>
      <c r="G35" s="20">
        <f t="shared" si="1"/>
        <v>30</v>
      </c>
      <c r="H35" s="2">
        <v>135</v>
      </c>
      <c r="I35" s="38">
        <f t="shared" si="2"/>
        <v>3.8461538461538463</v>
      </c>
      <c r="J35" s="39">
        <f t="shared" si="3"/>
        <v>35</v>
      </c>
      <c r="K35" s="40">
        <f t="shared" si="4"/>
        <v>35</v>
      </c>
    </row>
    <row r="36" spans="1:11" ht="15.6">
      <c r="A36" s="4" t="s">
        <v>24</v>
      </c>
      <c r="B36" s="3" t="s">
        <v>10</v>
      </c>
      <c r="C36" s="2">
        <v>40</v>
      </c>
      <c r="D36" s="2">
        <v>50</v>
      </c>
      <c r="E36" s="20">
        <f t="shared" si="0"/>
        <v>25</v>
      </c>
      <c r="F36" s="2">
        <v>55</v>
      </c>
      <c r="G36" s="20">
        <f t="shared" si="1"/>
        <v>10</v>
      </c>
      <c r="H36" s="2">
        <v>60</v>
      </c>
      <c r="I36" s="38">
        <f t="shared" si="2"/>
        <v>9.0909090909090917</v>
      </c>
      <c r="J36" s="39">
        <f t="shared" si="3"/>
        <v>20</v>
      </c>
      <c r="K36" s="40">
        <f t="shared" si="4"/>
        <v>50</v>
      </c>
    </row>
    <row r="37" spans="1:11" ht="15.6">
      <c r="A37" s="7"/>
      <c r="B37" s="3" t="s">
        <v>12</v>
      </c>
      <c r="C37" s="2">
        <v>70</v>
      </c>
      <c r="D37" s="2">
        <v>90</v>
      </c>
      <c r="E37" s="20">
        <f t="shared" si="0"/>
        <v>28.571428571428569</v>
      </c>
      <c r="F37" s="2">
        <v>100</v>
      </c>
      <c r="G37" s="20">
        <f t="shared" si="1"/>
        <v>11.111111111111111</v>
      </c>
      <c r="H37" s="2">
        <v>100</v>
      </c>
      <c r="I37" s="38">
        <f t="shared" si="2"/>
        <v>0</v>
      </c>
      <c r="J37" s="39">
        <f t="shared" si="3"/>
        <v>30</v>
      </c>
      <c r="K37" s="40">
        <f t="shared" si="4"/>
        <v>42.857142857142854</v>
      </c>
    </row>
    <row r="38" spans="1:11" ht="15.6">
      <c r="A38" s="8"/>
      <c r="B38" s="3" t="s">
        <v>13</v>
      </c>
      <c r="C38" s="2">
        <v>60</v>
      </c>
      <c r="D38" s="2">
        <v>75</v>
      </c>
      <c r="E38" s="20">
        <f t="shared" si="0"/>
        <v>25</v>
      </c>
      <c r="F38" s="2">
        <v>90</v>
      </c>
      <c r="G38" s="20">
        <f t="shared" si="1"/>
        <v>20</v>
      </c>
      <c r="H38" s="2">
        <v>97.5</v>
      </c>
      <c r="I38" s="38">
        <f t="shared" si="2"/>
        <v>8.3333333333333321</v>
      </c>
      <c r="J38" s="39">
        <f t="shared" si="3"/>
        <v>37.5</v>
      </c>
      <c r="K38" s="40">
        <f t="shared" si="4"/>
        <v>62.5</v>
      </c>
    </row>
    <row r="39" spans="1:11" ht="15.6">
      <c r="A39" s="4" t="s">
        <v>25</v>
      </c>
      <c r="B39" s="3" t="s">
        <v>10</v>
      </c>
      <c r="C39" s="2">
        <v>15</v>
      </c>
      <c r="D39" s="22">
        <v>15</v>
      </c>
      <c r="E39" s="20">
        <f t="shared" si="0"/>
        <v>0</v>
      </c>
      <c r="F39" s="2">
        <v>22</v>
      </c>
      <c r="G39" s="20">
        <f t="shared" si="1"/>
        <v>46.666666666666664</v>
      </c>
      <c r="H39" s="2">
        <v>22.5</v>
      </c>
      <c r="I39" s="38">
        <f t="shared" si="2"/>
        <v>2.2727272727272729</v>
      </c>
      <c r="J39" s="39">
        <f t="shared" si="3"/>
        <v>7.5</v>
      </c>
      <c r="K39" s="40">
        <f t="shared" si="4"/>
        <v>50</v>
      </c>
    </row>
    <row r="40" spans="1:11" ht="15.6">
      <c r="A40" s="7"/>
      <c r="B40" s="3" t="s">
        <v>12</v>
      </c>
      <c r="C40" s="2">
        <v>55</v>
      </c>
      <c r="D40" s="2">
        <v>60</v>
      </c>
      <c r="E40" s="20">
        <f t="shared" si="0"/>
        <v>9.0909090909090917</v>
      </c>
      <c r="F40" s="2">
        <v>60</v>
      </c>
      <c r="G40" s="20">
        <f t="shared" si="1"/>
        <v>0</v>
      </c>
      <c r="H40" s="2">
        <v>62.5</v>
      </c>
      <c r="I40" s="38">
        <f t="shared" si="2"/>
        <v>4.1666666666666661</v>
      </c>
      <c r="J40" s="39">
        <f t="shared" si="3"/>
        <v>7.5</v>
      </c>
      <c r="K40" s="40">
        <f t="shared" si="4"/>
        <v>13.636363636363635</v>
      </c>
    </row>
    <row r="41" spans="1:11" ht="15.6">
      <c r="A41" s="10"/>
      <c r="B41" s="3" t="s">
        <v>13</v>
      </c>
      <c r="C41" s="18">
        <v>50</v>
      </c>
      <c r="D41" s="18">
        <v>60</v>
      </c>
      <c r="E41" s="20">
        <f t="shared" si="0"/>
        <v>20</v>
      </c>
      <c r="F41" s="2">
        <v>65</v>
      </c>
      <c r="G41" s="20">
        <f t="shared" si="1"/>
        <v>8.3333333333333321</v>
      </c>
      <c r="H41" s="2">
        <v>65</v>
      </c>
      <c r="I41" s="38">
        <f t="shared" si="2"/>
        <v>0</v>
      </c>
      <c r="J41" s="39">
        <f t="shared" si="3"/>
        <v>15</v>
      </c>
      <c r="K41" s="40">
        <f t="shared" si="4"/>
        <v>30</v>
      </c>
    </row>
    <row r="42" spans="1:11" ht="15.6">
      <c r="A42" s="11" t="s">
        <v>26</v>
      </c>
      <c r="B42" s="3" t="s">
        <v>10</v>
      </c>
      <c r="C42" s="18">
        <v>55</v>
      </c>
      <c r="D42" s="18">
        <v>60</v>
      </c>
      <c r="E42" s="20">
        <f t="shared" si="0"/>
        <v>9.0909090909090917</v>
      </c>
      <c r="F42" s="2">
        <v>65</v>
      </c>
      <c r="G42" s="20">
        <f t="shared" si="1"/>
        <v>8.3333333333333321</v>
      </c>
      <c r="H42" s="2">
        <v>65</v>
      </c>
      <c r="I42" s="38">
        <f t="shared" si="2"/>
        <v>0</v>
      </c>
      <c r="J42" s="39">
        <f t="shared" si="3"/>
        <v>10</v>
      </c>
      <c r="K42" s="40">
        <f t="shared" si="4"/>
        <v>18.181818181818183</v>
      </c>
    </row>
    <row r="43" spans="1:11" ht="15.6">
      <c r="A43" s="12"/>
      <c r="B43" s="3" t="s">
        <v>12</v>
      </c>
      <c r="C43" s="18">
        <v>70</v>
      </c>
      <c r="D43" s="18">
        <v>90</v>
      </c>
      <c r="E43" s="20">
        <f t="shared" si="0"/>
        <v>28.571428571428569</v>
      </c>
      <c r="F43" s="2">
        <v>100</v>
      </c>
      <c r="G43" s="20">
        <f t="shared" si="1"/>
        <v>11.111111111111111</v>
      </c>
      <c r="H43" s="2">
        <v>102.5</v>
      </c>
      <c r="I43" s="38">
        <f t="shared" si="2"/>
        <v>2.5</v>
      </c>
      <c r="J43" s="39">
        <f t="shared" si="3"/>
        <v>32.5</v>
      </c>
      <c r="K43" s="40">
        <f t="shared" si="4"/>
        <v>46.428571428571431</v>
      </c>
    </row>
    <row r="44" spans="1:11" ht="15.6">
      <c r="A44" s="10"/>
      <c r="B44" s="3" t="s">
        <v>13</v>
      </c>
      <c r="C44" s="18">
        <v>70</v>
      </c>
      <c r="D44" s="18">
        <v>87.5</v>
      </c>
      <c r="E44" s="20">
        <f t="shared" si="0"/>
        <v>25</v>
      </c>
      <c r="F44" s="2">
        <v>105</v>
      </c>
      <c r="G44" s="20">
        <f t="shared" si="1"/>
        <v>20</v>
      </c>
      <c r="H44" s="2">
        <v>115</v>
      </c>
      <c r="I44" s="38">
        <f t="shared" si="2"/>
        <v>9.5238095238095237</v>
      </c>
      <c r="J44" s="39">
        <f t="shared" si="3"/>
        <v>45</v>
      </c>
      <c r="K44" s="40">
        <f t="shared" si="4"/>
        <v>64.285714285714292</v>
      </c>
    </row>
    <row r="45" spans="1:11" ht="15.6">
      <c r="A45" s="11" t="s">
        <v>27</v>
      </c>
      <c r="B45" s="3" t="s">
        <v>10</v>
      </c>
      <c r="C45" s="18">
        <v>45</v>
      </c>
      <c r="D45" s="18">
        <v>48</v>
      </c>
      <c r="E45" s="20">
        <f t="shared" si="0"/>
        <v>6.666666666666667</v>
      </c>
      <c r="F45" s="2">
        <v>52.5</v>
      </c>
      <c r="G45" s="20">
        <f t="shared" si="1"/>
        <v>9.375</v>
      </c>
      <c r="H45" s="2">
        <v>52.5</v>
      </c>
      <c r="I45" s="38">
        <f t="shared" si="2"/>
        <v>0</v>
      </c>
      <c r="J45" s="39">
        <f t="shared" si="3"/>
        <v>7.5</v>
      </c>
      <c r="K45" s="40">
        <f t="shared" si="4"/>
        <v>16.666666666666664</v>
      </c>
    </row>
    <row r="46" spans="1:11" ht="15.6">
      <c r="A46" s="12"/>
      <c r="B46" s="3" t="s">
        <v>12</v>
      </c>
      <c r="C46" s="18">
        <v>80</v>
      </c>
      <c r="D46" s="18">
        <v>85</v>
      </c>
      <c r="E46" s="20">
        <f t="shared" si="0"/>
        <v>6.25</v>
      </c>
      <c r="F46" s="2">
        <v>85</v>
      </c>
      <c r="G46" s="20">
        <f t="shared" si="1"/>
        <v>0</v>
      </c>
      <c r="H46" s="2">
        <v>100</v>
      </c>
      <c r="I46" s="38">
        <f t="shared" si="2"/>
        <v>17.647058823529413</v>
      </c>
      <c r="J46" s="39">
        <f t="shared" si="3"/>
        <v>20</v>
      </c>
      <c r="K46" s="40">
        <f t="shared" si="4"/>
        <v>25</v>
      </c>
    </row>
    <row r="47" spans="1:11" ht="15.6">
      <c r="A47" s="10"/>
      <c r="B47" s="3" t="s">
        <v>13</v>
      </c>
      <c r="C47" s="18">
        <v>50</v>
      </c>
      <c r="D47" s="18">
        <v>75</v>
      </c>
      <c r="E47" s="20">
        <f t="shared" si="0"/>
        <v>50</v>
      </c>
      <c r="F47" s="2">
        <v>75</v>
      </c>
      <c r="G47" s="20">
        <f t="shared" si="1"/>
        <v>0</v>
      </c>
      <c r="H47" s="2"/>
      <c r="I47" s="38">
        <f t="shared" si="2"/>
        <v>-100</v>
      </c>
      <c r="J47" s="39">
        <f t="shared" si="3"/>
        <v>-50</v>
      </c>
      <c r="K47" s="40">
        <f t="shared" si="4"/>
        <v>-100</v>
      </c>
    </row>
    <row r="48" spans="1:11" ht="15.6">
      <c r="A48" s="11" t="s">
        <v>28</v>
      </c>
      <c r="B48" s="3" t="s">
        <v>10</v>
      </c>
      <c r="C48" s="18">
        <v>35</v>
      </c>
      <c r="D48" s="18">
        <v>40</v>
      </c>
      <c r="E48" s="20">
        <f t="shared" si="0"/>
        <v>14.285714285714285</v>
      </c>
      <c r="F48" s="2">
        <v>40</v>
      </c>
      <c r="G48" s="20">
        <f t="shared" si="1"/>
        <v>0</v>
      </c>
      <c r="H48" s="2">
        <v>42.5</v>
      </c>
      <c r="I48" s="38">
        <f t="shared" si="2"/>
        <v>6.25</v>
      </c>
      <c r="J48" s="39">
        <f t="shared" si="3"/>
        <v>7.5</v>
      </c>
      <c r="K48" s="40">
        <f t="shared" si="4"/>
        <v>21.428571428571427</v>
      </c>
    </row>
    <row r="49" spans="1:11" ht="15.75">
      <c r="A49" s="12"/>
      <c r="B49" s="3" t="s">
        <v>12</v>
      </c>
      <c r="C49" s="18">
        <v>55</v>
      </c>
      <c r="D49" s="18">
        <v>80</v>
      </c>
      <c r="E49" s="20">
        <f t="shared" si="0"/>
        <v>45.454545454545453</v>
      </c>
      <c r="F49" s="18">
        <v>85</v>
      </c>
      <c r="G49" s="20">
        <f t="shared" si="1"/>
        <v>6.25</v>
      </c>
      <c r="H49" s="18">
        <v>90</v>
      </c>
      <c r="I49" s="38">
        <f t="shared" si="2"/>
        <v>5.8823529411764701</v>
      </c>
      <c r="J49" s="39">
        <f t="shared" si="3"/>
        <v>35</v>
      </c>
      <c r="K49" s="40">
        <f t="shared" si="4"/>
        <v>63.636363636363633</v>
      </c>
    </row>
    <row r="50" spans="1:11" ht="15.75">
      <c r="A50" s="10"/>
      <c r="B50" s="3" t="s">
        <v>13</v>
      </c>
      <c r="C50" s="18">
        <v>50</v>
      </c>
      <c r="D50" s="18">
        <v>70</v>
      </c>
      <c r="E50" s="20">
        <f t="shared" si="0"/>
        <v>40</v>
      </c>
      <c r="F50" s="18">
        <v>75</v>
      </c>
      <c r="G50" s="20">
        <f t="shared" si="1"/>
        <v>7.1428571428571423</v>
      </c>
      <c r="H50" s="18">
        <v>85</v>
      </c>
      <c r="I50" s="38">
        <f t="shared" si="2"/>
        <v>13.333333333333334</v>
      </c>
      <c r="J50" s="39">
        <f t="shared" si="3"/>
        <v>35</v>
      </c>
      <c r="K50" s="40">
        <f t="shared" si="4"/>
        <v>70</v>
      </c>
    </row>
    <row r="51" spans="1:11" ht="15.75">
      <c r="A51" s="13" t="s">
        <v>29</v>
      </c>
      <c r="B51" s="3" t="s">
        <v>10</v>
      </c>
      <c r="C51" s="18">
        <v>85</v>
      </c>
      <c r="D51" s="21">
        <v>85</v>
      </c>
      <c r="E51" s="20">
        <f t="shared" si="0"/>
        <v>0</v>
      </c>
      <c r="F51" s="18"/>
      <c r="G51" s="20">
        <f t="shared" si="1"/>
        <v>-100</v>
      </c>
      <c r="H51" s="18"/>
      <c r="I51" s="38" t="e">
        <f t="shared" si="2"/>
        <v>#DIV/0!</v>
      </c>
      <c r="J51" s="39">
        <f t="shared" si="3"/>
        <v>-85</v>
      </c>
      <c r="K51" s="40">
        <f t="shared" si="4"/>
        <v>-100</v>
      </c>
    </row>
    <row r="52" spans="1:11" ht="15.75">
      <c r="A52" s="14"/>
      <c r="B52" s="3" t="s">
        <v>12</v>
      </c>
      <c r="C52" s="18">
        <v>100</v>
      </c>
      <c r="D52" s="21">
        <v>100</v>
      </c>
      <c r="E52" s="20">
        <f t="shared" si="0"/>
        <v>0</v>
      </c>
      <c r="F52" s="18"/>
      <c r="G52" s="20">
        <f t="shared" si="1"/>
        <v>-100</v>
      </c>
      <c r="H52" s="18"/>
      <c r="I52" s="38" t="e">
        <f t="shared" si="2"/>
        <v>#DIV/0!</v>
      </c>
      <c r="J52" s="39">
        <f t="shared" si="3"/>
        <v>-100</v>
      </c>
      <c r="K52" s="40">
        <f t="shared" si="4"/>
        <v>-100</v>
      </c>
    </row>
    <row r="53" spans="1:11" ht="15.75">
      <c r="A53" s="15"/>
      <c r="B53" s="3" t="s">
        <v>13</v>
      </c>
      <c r="C53" s="18">
        <v>85</v>
      </c>
      <c r="D53" s="21">
        <v>85</v>
      </c>
      <c r="E53" s="20">
        <f t="shared" si="0"/>
        <v>0</v>
      </c>
      <c r="F53" s="18"/>
      <c r="G53" s="20">
        <f t="shared" si="1"/>
        <v>-100</v>
      </c>
      <c r="H53" s="18"/>
      <c r="I53" s="38" t="e">
        <f t="shared" si="2"/>
        <v>#DIV/0!</v>
      </c>
      <c r="J53" s="39">
        <f t="shared" si="3"/>
        <v>-85</v>
      </c>
      <c r="K53" s="40">
        <f t="shared" si="4"/>
        <v>-100</v>
      </c>
    </row>
    <row r="54" spans="1:11" ht="15.75">
      <c r="A54" s="13" t="s">
        <v>30</v>
      </c>
      <c r="B54" s="3" t="s">
        <v>10</v>
      </c>
      <c r="C54" s="18">
        <v>72.5</v>
      </c>
      <c r="D54" s="18">
        <v>80</v>
      </c>
      <c r="E54" s="20">
        <f t="shared" si="0"/>
        <v>10.344827586206897</v>
      </c>
      <c r="F54" s="18">
        <v>85</v>
      </c>
      <c r="G54" s="20">
        <f t="shared" si="1"/>
        <v>6.25</v>
      </c>
      <c r="H54" s="18">
        <v>100</v>
      </c>
      <c r="I54" s="38">
        <f t="shared" si="2"/>
        <v>17.647058823529413</v>
      </c>
      <c r="J54" s="39">
        <f t="shared" si="3"/>
        <v>27.5</v>
      </c>
      <c r="K54" s="40">
        <f t="shared" si="4"/>
        <v>37.931034482758619</v>
      </c>
    </row>
    <row r="55" spans="1:11" ht="15.75">
      <c r="A55" s="14"/>
      <c r="B55" s="3" t="s">
        <v>12</v>
      </c>
      <c r="C55" s="18">
        <v>90</v>
      </c>
      <c r="D55" s="18">
        <v>115</v>
      </c>
      <c r="E55" s="20">
        <f t="shared" si="0"/>
        <v>27.777777777777779</v>
      </c>
      <c r="F55" s="18">
        <v>115</v>
      </c>
      <c r="G55" s="20">
        <f t="shared" si="1"/>
        <v>0</v>
      </c>
      <c r="H55" s="18">
        <v>140</v>
      </c>
      <c r="I55" s="38">
        <f t="shared" si="2"/>
        <v>21.739130434782609</v>
      </c>
      <c r="J55" s="39">
        <f t="shared" si="3"/>
        <v>50</v>
      </c>
      <c r="K55" s="40">
        <f t="shared" si="4"/>
        <v>55.555555555555557</v>
      </c>
    </row>
    <row r="56" spans="1:11" ht="15.75">
      <c r="A56" s="15"/>
      <c r="B56" s="3" t="s">
        <v>13</v>
      </c>
      <c r="C56" s="18">
        <v>70</v>
      </c>
      <c r="D56" s="18">
        <v>105</v>
      </c>
      <c r="E56" s="20">
        <f t="shared" si="0"/>
        <v>50</v>
      </c>
      <c r="F56" s="18">
        <v>105</v>
      </c>
      <c r="G56" s="20">
        <f t="shared" si="1"/>
        <v>0</v>
      </c>
      <c r="H56" s="18">
        <v>115</v>
      </c>
      <c r="I56" s="38">
        <f t="shared" si="2"/>
        <v>9.5238095238095237</v>
      </c>
      <c r="J56" s="39">
        <f t="shared" si="3"/>
        <v>45</v>
      </c>
      <c r="K56" s="40">
        <f t="shared" si="4"/>
        <v>64.285714285714292</v>
      </c>
    </row>
    <row r="57" spans="1:11" ht="15.75">
      <c r="A57" s="13" t="s">
        <v>31</v>
      </c>
      <c r="B57" s="3" t="s">
        <v>10</v>
      </c>
      <c r="C57" s="18">
        <v>35</v>
      </c>
      <c r="D57" s="18">
        <v>40</v>
      </c>
      <c r="E57" s="20">
        <f t="shared" si="0"/>
        <v>14.285714285714285</v>
      </c>
      <c r="F57" s="18">
        <v>42.5</v>
      </c>
      <c r="G57" s="20">
        <f t="shared" si="1"/>
        <v>6.25</v>
      </c>
      <c r="H57" s="18">
        <v>45</v>
      </c>
      <c r="I57" s="38">
        <f t="shared" si="2"/>
        <v>5.8823529411764701</v>
      </c>
      <c r="J57" s="39">
        <f t="shared" si="3"/>
        <v>10</v>
      </c>
      <c r="K57" s="40">
        <f t="shared" si="4"/>
        <v>28.571428571428569</v>
      </c>
    </row>
    <row r="58" spans="1:11" ht="15.75">
      <c r="A58" s="14"/>
      <c r="B58" s="3" t="s">
        <v>12</v>
      </c>
      <c r="C58" s="18">
        <v>70</v>
      </c>
      <c r="D58" s="18">
        <v>90</v>
      </c>
      <c r="E58" s="20">
        <f t="shared" si="0"/>
        <v>28.571428571428569</v>
      </c>
      <c r="F58" s="18">
        <v>95</v>
      </c>
      <c r="G58" s="20">
        <f t="shared" si="1"/>
        <v>5.5555555555555554</v>
      </c>
      <c r="H58" s="18">
        <v>97.5</v>
      </c>
      <c r="I58" s="38">
        <f t="shared" si="2"/>
        <v>2.6315789473684208</v>
      </c>
      <c r="J58" s="39">
        <f t="shared" si="3"/>
        <v>27.5</v>
      </c>
      <c r="K58" s="40">
        <f t="shared" si="4"/>
        <v>39.285714285714285</v>
      </c>
    </row>
    <row r="59" spans="1:11" ht="15.75">
      <c r="A59" s="15"/>
      <c r="B59" s="3" t="s">
        <v>13</v>
      </c>
      <c r="C59" s="18">
        <v>50</v>
      </c>
      <c r="D59" s="18">
        <v>65</v>
      </c>
      <c r="E59" s="20">
        <f t="shared" ref="E59:E62" si="5">(D59-C59)/C59*100</f>
        <v>30</v>
      </c>
      <c r="F59" s="18">
        <v>85</v>
      </c>
      <c r="G59" s="20">
        <f t="shared" si="1"/>
        <v>30.76923076923077</v>
      </c>
      <c r="H59" s="18"/>
      <c r="I59" s="38">
        <f t="shared" si="2"/>
        <v>-100</v>
      </c>
      <c r="J59" s="39">
        <f t="shared" si="3"/>
        <v>-50</v>
      </c>
      <c r="K59" s="40">
        <f t="shared" si="4"/>
        <v>-100</v>
      </c>
    </row>
    <row r="60" spans="1:11" ht="15.75">
      <c r="A60" s="13" t="s">
        <v>32</v>
      </c>
      <c r="B60" s="3" t="s">
        <v>10</v>
      </c>
      <c r="C60" s="18">
        <v>55</v>
      </c>
      <c r="D60" s="18">
        <v>60</v>
      </c>
      <c r="E60" s="20">
        <f t="shared" si="5"/>
        <v>9.0909090909090917</v>
      </c>
      <c r="F60" s="18">
        <v>67.5</v>
      </c>
      <c r="G60" s="20">
        <f t="shared" si="1"/>
        <v>12.5</v>
      </c>
      <c r="H60" s="18"/>
      <c r="I60" s="38">
        <f t="shared" si="2"/>
        <v>-100</v>
      </c>
      <c r="J60" s="39">
        <f t="shared" si="3"/>
        <v>-55</v>
      </c>
      <c r="K60" s="40">
        <f t="shared" si="4"/>
        <v>-100</v>
      </c>
    </row>
    <row r="61" spans="1:11" ht="15.75">
      <c r="A61" s="14"/>
      <c r="B61" s="3" t="s">
        <v>12</v>
      </c>
      <c r="C61" s="18">
        <v>115</v>
      </c>
      <c r="D61" s="18">
        <v>120</v>
      </c>
      <c r="E61" s="20">
        <f t="shared" si="5"/>
        <v>4.3478260869565215</v>
      </c>
      <c r="F61" s="18">
        <v>125</v>
      </c>
      <c r="G61" s="20">
        <f t="shared" si="1"/>
        <v>4.1666666666666661</v>
      </c>
      <c r="H61" s="18"/>
      <c r="I61" s="38">
        <f t="shared" si="2"/>
        <v>-100</v>
      </c>
      <c r="J61" s="39">
        <f t="shared" si="3"/>
        <v>-115</v>
      </c>
      <c r="K61" s="40">
        <f t="shared" si="4"/>
        <v>-100</v>
      </c>
    </row>
    <row r="62" spans="1:11" ht="15.75">
      <c r="A62" s="15"/>
      <c r="B62" s="3" t="s">
        <v>13</v>
      </c>
      <c r="C62" s="18">
        <v>80</v>
      </c>
      <c r="D62" s="18">
        <v>130</v>
      </c>
      <c r="E62" s="20">
        <f t="shared" si="5"/>
        <v>62.5</v>
      </c>
      <c r="F62" s="18">
        <v>137</v>
      </c>
      <c r="G62" s="20">
        <f t="shared" si="1"/>
        <v>5.384615384615385</v>
      </c>
      <c r="H62" s="18"/>
      <c r="I62" s="38">
        <f t="shared" si="2"/>
        <v>-100</v>
      </c>
      <c r="J62" s="39">
        <f t="shared" si="3"/>
        <v>-80</v>
      </c>
      <c r="K62" s="40">
        <f t="shared" si="4"/>
        <v>-100</v>
      </c>
    </row>
    <row r="63" spans="1:11" ht="15.75">
      <c r="A63" s="13" t="s">
        <v>33</v>
      </c>
      <c r="B63" s="3" t="s">
        <v>10</v>
      </c>
      <c r="C63" s="18">
        <v>65</v>
      </c>
      <c r="D63" s="18">
        <v>70</v>
      </c>
      <c r="E63" s="20">
        <f>(D63-C63)/C63*100</f>
        <v>7.6923076923076925</v>
      </c>
      <c r="F63" s="18">
        <v>70</v>
      </c>
      <c r="G63" s="20">
        <f t="shared" si="1"/>
        <v>0</v>
      </c>
      <c r="H63" s="18">
        <v>80</v>
      </c>
      <c r="I63" s="38">
        <f t="shared" si="2"/>
        <v>14.285714285714285</v>
      </c>
      <c r="J63" s="39">
        <f t="shared" si="3"/>
        <v>15</v>
      </c>
      <c r="K63" s="40">
        <f t="shared" si="4"/>
        <v>23.076923076923077</v>
      </c>
    </row>
    <row r="64" spans="1:11" ht="15.75">
      <c r="A64" s="14"/>
      <c r="B64" s="3" t="s">
        <v>12</v>
      </c>
      <c r="C64" s="18">
        <v>100</v>
      </c>
      <c r="D64" s="18">
        <v>115</v>
      </c>
      <c r="E64" s="20">
        <f>(D64-C64)/C64*100</f>
        <v>15</v>
      </c>
      <c r="F64" s="18"/>
      <c r="G64" s="20">
        <f t="shared" si="1"/>
        <v>-100</v>
      </c>
      <c r="H64" s="18"/>
      <c r="I64" s="38" t="e">
        <f t="shared" si="2"/>
        <v>#DIV/0!</v>
      </c>
      <c r="J64" s="39">
        <f t="shared" si="3"/>
        <v>-100</v>
      </c>
      <c r="K64" s="40">
        <f t="shared" si="4"/>
        <v>-100</v>
      </c>
    </row>
    <row r="65" spans="1:11" ht="15.75">
      <c r="A65" s="15"/>
      <c r="B65" s="3" t="s">
        <v>13</v>
      </c>
      <c r="C65" s="18">
        <v>80</v>
      </c>
      <c r="D65" s="18">
        <v>105</v>
      </c>
      <c r="E65" s="20">
        <f>(D65-C65)/C65*100</f>
        <v>31.25</v>
      </c>
      <c r="F65" s="18">
        <v>140</v>
      </c>
      <c r="G65" s="20">
        <f t="shared" si="1"/>
        <v>33.333333333333329</v>
      </c>
      <c r="H65" s="18"/>
      <c r="I65" s="38">
        <f t="shared" si="2"/>
        <v>-100</v>
      </c>
      <c r="J65" s="39">
        <f t="shared" si="3"/>
        <v>-80</v>
      </c>
      <c r="K65" s="40">
        <f t="shared" si="4"/>
        <v>-100</v>
      </c>
    </row>
    <row r="66" spans="1:11" ht="15.75">
      <c r="A66" s="13" t="s">
        <v>34</v>
      </c>
      <c r="B66" s="3" t="s">
        <v>10</v>
      </c>
      <c r="C66" s="18">
        <v>85</v>
      </c>
      <c r="D66" s="18">
        <v>87.5</v>
      </c>
      <c r="E66" s="20">
        <f>(D66-C66)/C66*100</f>
        <v>2.9411764705882351</v>
      </c>
      <c r="F66" s="18">
        <v>90</v>
      </c>
      <c r="G66" s="20">
        <f t="shared" si="1"/>
        <v>2.8571428571428572</v>
      </c>
      <c r="H66" s="18">
        <v>92.5</v>
      </c>
      <c r="I66" s="38">
        <f t="shared" si="2"/>
        <v>2.7777777777777777</v>
      </c>
      <c r="J66" s="39">
        <f t="shared" si="3"/>
        <v>7.5</v>
      </c>
      <c r="K66" s="40">
        <f t="shared" si="4"/>
        <v>8.8235294117647065</v>
      </c>
    </row>
    <row r="67" spans="1:11" ht="15.75">
      <c r="A67" s="14"/>
      <c r="B67" s="3" t="s">
        <v>12</v>
      </c>
      <c r="C67" s="18">
        <v>110</v>
      </c>
      <c r="D67" s="18">
        <v>110</v>
      </c>
      <c r="E67" s="20">
        <f>(D67-C67)/C67*100</f>
        <v>0</v>
      </c>
      <c r="F67" s="18">
        <v>115</v>
      </c>
      <c r="G67" s="20">
        <f t="shared" ref="G67:G124" si="6">(F67-D67)/D67*100</f>
        <v>4.5454545454545459</v>
      </c>
      <c r="H67" s="18">
        <v>120</v>
      </c>
      <c r="I67" s="38">
        <f t="shared" ref="I67:I124" si="7">(H67-F67)/F67*100</f>
        <v>4.3478260869565215</v>
      </c>
      <c r="J67" s="39">
        <f t="shared" ref="J67:J124" si="8">H67-C67</f>
        <v>10</v>
      </c>
      <c r="K67" s="40">
        <f t="shared" ref="K67:K124" si="9">J67/C67*100</f>
        <v>9.0909090909090917</v>
      </c>
    </row>
    <row r="68" spans="1:11" ht="15.75">
      <c r="A68" s="15"/>
      <c r="B68" s="3" t="s">
        <v>13</v>
      </c>
      <c r="C68" s="18"/>
      <c r="D68" s="18"/>
      <c r="E68" s="20" t="e">
        <f>(D68-C68)/C68*100</f>
        <v>#DIV/0!</v>
      </c>
      <c r="F68" s="18"/>
      <c r="G68" s="20" t="e">
        <f t="shared" si="6"/>
        <v>#DIV/0!</v>
      </c>
      <c r="H68" s="18"/>
      <c r="I68" s="38" t="e">
        <f t="shared" si="7"/>
        <v>#DIV/0!</v>
      </c>
      <c r="J68" s="39">
        <f t="shared" si="8"/>
        <v>0</v>
      </c>
      <c r="K68" s="40" t="e">
        <f t="shared" si="9"/>
        <v>#DIV/0!</v>
      </c>
    </row>
    <row r="69" spans="1:11" ht="15.75">
      <c r="A69" s="13" t="s">
        <v>35</v>
      </c>
      <c r="B69" s="3" t="s">
        <v>10</v>
      </c>
      <c r="C69" s="18">
        <v>52.5</v>
      </c>
      <c r="D69" s="18">
        <v>55</v>
      </c>
      <c r="E69" s="20">
        <f>(D69-C69)/C69*100</f>
        <v>4.7619047619047619</v>
      </c>
      <c r="F69" s="18">
        <v>60</v>
      </c>
      <c r="G69" s="20">
        <f t="shared" si="6"/>
        <v>9.0909090909090917</v>
      </c>
      <c r="H69" s="18"/>
      <c r="I69" s="38">
        <f t="shared" si="7"/>
        <v>-100</v>
      </c>
      <c r="J69" s="39">
        <f t="shared" si="8"/>
        <v>-52.5</v>
      </c>
      <c r="K69" s="40">
        <f t="shared" si="9"/>
        <v>-100</v>
      </c>
    </row>
    <row r="70" spans="1:11" ht="15.75">
      <c r="A70" s="14"/>
      <c r="B70" s="3" t="s">
        <v>12</v>
      </c>
      <c r="C70" s="18">
        <v>80</v>
      </c>
      <c r="D70" s="18">
        <v>90</v>
      </c>
      <c r="E70" s="20">
        <f>(D70-C70)/C70*100</f>
        <v>12.5</v>
      </c>
      <c r="F70" s="18">
        <v>92.5</v>
      </c>
      <c r="G70" s="20">
        <f t="shared" si="6"/>
        <v>2.7777777777777777</v>
      </c>
      <c r="H70" s="18"/>
      <c r="I70" s="38">
        <f t="shared" si="7"/>
        <v>-100</v>
      </c>
      <c r="J70" s="39">
        <f t="shared" si="8"/>
        <v>-80</v>
      </c>
      <c r="K70" s="40">
        <f t="shared" si="9"/>
        <v>-100</v>
      </c>
    </row>
    <row r="71" spans="1:11" ht="15.75">
      <c r="A71" s="15"/>
      <c r="B71" s="3" t="s">
        <v>13</v>
      </c>
      <c r="C71" s="18">
        <v>70</v>
      </c>
      <c r="D71" s="18">
        <v>87.5</v>
      </c>
      <c r="E71" s="20">
        <f>(D71-C71)/C71*100</f>
        <v>25</v>
      </c>
      <c r="F71" s="18">
        <v>92.5</v>
      </c>
      <c r="G71" s="20">
        <f t="shared" si="6"/>
        <v>5.7142857142857144</v>
      </c>
      <c r="H71" s="18"/>
      <c r="I71" s="38">
        <f t="shared" si="7"/>
        <v>-100</v>
      </c>
      <c r="J71" s="39">
        <f t="shared" si="8"/>
        <v>-70</v>
      </c>
      <c r="K71" s="40">
        <f t="shared" si="9"/>
        <v>-100</v>
      </c>
    </row>
    <row r="72" spans="1:11" ht="15.75">
      <c r="A72" s="13" t="s">
        <v>36</v>
      </c>
      <c r="B72" s="3" t="s">
        <v>10</v>
      </c>
      <c r="C72" s="18">
        <v>45</v>
      </c>
      <c r="D72" s="18">
        <v>47.5</v>
      </c>
      <c r="E72" s="20">
        <f>(D72-C72)/C72*100</f>
        <v>5.5555555555555554</v>
      </c>
      <c r="F72" s="18">
        <v>50</v>
      </c>
      <c r="G72" s="20">
        <f t="shared" si="6"/>
        <v>5.2631578947368416</v>
      </c>
      <c r="H72" s="18">
        <v>55</v>
      </c>
      <c r="I72" s="38">
        <f t="shared" si="7"/>
        <v>10</v>
      </c>
      <c r="J72" s="39">
        <f t="shared" si="8"/>
        <v>10</v>
      </c>
      <c r="K72" s="40">
        <f t="shared" si="9"/>
        <v>22.222222222222221</v>
      </c>
    </row>
    <row r="73" spans="1:11" ht="15.75">
      <c r="A73" s="14"/>
      <c r="B73" s="3" t="s">
        <v>12</v>
      </c>
      <c r="C73" s="18">
        <v>80</v>
      </c>
      <c r="D73" s="18">
        <v>85</v>
      </c>
      <c r="E73" s="20">
        <f>(D73-C73)/C73*100</f>
        <v>6.25</v>
      </c>
      <c r="F73" s="18">
        <v>87.5</v>
      </c>
      <c r="G73" s="20">
        <f t="shared" si="6"/>
        <v>2.9411764705882351</v>
      </c>
      <c r="H73" s="18">
        <v>97.5</v>
      </c>
      <c r="I73" s="38">
        <f t="shared" si="7"/>
        <v>11.428571428571429</v>
      </c>
      <c r="J73" s="39">
        <f t="shared" si="8"/>
        <v>17.5</v>
      </c>
      <c r="K73" s="40">
        <f t="shared" si="9"/>
        <v>21.875</v>
      </c>
    </row>
    <row r="74" spans="1:11" ht="15.75">
      <c r="A74" s="15"/>
      <c r="B74" s="3" t="s">
        <v>13</v>
      </c>
      <c r="C74" s="18">
        <v>70</v>
      </c>
      <c r="D74" s="18">
        <v>85</v>
      </c>
      <c r="E74" s="20">
        <f>(D74-C74)/C74*100</f>
        <v>21.428571428571427</v>
      </c>
      <c r="F74" s="18">
        <v>95</v>
      </c>
      <c r="G74" s="20">
        <f t="shared" si="6"/>
        <v>11.76470588235294</v>
      </c>
      <c r="H74" s="18">
        <v>100</v>
      </c>
      <c r="I74" s="38">
        <f t="shared" si="7"/>
        <v>5.2631578947368416</v>
      </c>
      <c r="J74" s="39">
        <f t="shared" si="8"/>
        <v>30</v>
      </c>
      <c r="K74" s="40">
        <f t="shared" si="9"/>
        <v>42.857142857142854</v>
      </c>
    </row>
    <row r="75" spans="1:11" ht="15.75">
      <c r="A75" s="13" t="s">
        <v>37</v>
      </c>
      <c r="B75" s="3" t="s">
        <v>10</v>
      </c>
      <c r="C75" s="18">
        <v>80</v>
      </c>
      <c r="D75" s="18">
        <v>87.5</v>
      </c>
      <c r="E75" s="20">
        <f>(D75-C75)/C75*100</f>
        <v>9.375</v>
      </c>
      <c r="F75" s="18">
        <v>90</v>
      </c>
      <c r="G75" s="20">
        <f t="shared" si="6"/>
        <v>2.8571428571428572</v>
      </c>
      <c r="H75" s="18">
        <v>95</v>
      </c>
      <c r="I75" s="38">
        <f t="shared" si="7"/>
        <v>5.5555555555555554</v>
      </c>
      <c r="J75" s="39">
        <f t="shared" si="8"/>
        <v>15</v>
      </c>
      <c r="K75" s="40">
        <f t="shared" si="9"/>
        <v>18.75</v>
      </c>
    </row>
    <row r="76" spans="1:11" ht="15.75">
      <c r="A76" s="14"/>
      <c r="B76" s="3" t="s">
        <v>12</v>
      </c>
      <c r="C76" s="18">
        <v>110</v>
      </c>
      <c r="D76" s="18">
        <v>120</v>
      </c>
      <c r="E76" s="20">
        <f>(D76-C76)/C76*100</f>
        <v>9.0909090909090917</v>
      </c>
      <c r="F76" s="18">
        <v>120</v>
      </c>
      <c r="G76" s="20">
        <f t="shared" si="6"/>
        <v>0</v>
      </c>
      <c r="H76" s="18">
        <v>120</v>
      </c>
      <c r="I76" s="38">
        <f t="shared" si="7"/>
        <v>0</v>
      </c>
      <c r="J76" s="39">
        <f t="shared" si="8"/>
        <v>10</v>
      </c>
      <c r="K76" s="40">
        <f t="shared" si="9"/>
        <v>9.0909090909090917</v>
      </c>
    </row>
    <row r="77" spans="1:11" ht="15.75">
      <c r="A77" s="15"/>
      <c r="B77" s="3" t="s">
        <v>13</v>
      </c>
      <c r="C77" s="18">
        <v>100</v>
      </c>
      <c r="D77" s="18">
        <v>110</v>
      </c>
      <c r="E77" s="20">
        <f>(D77-C77)/C77*100</f>
        <v>10</v>
      </c>
      <c r="F77" s="18">
        <v>110</v>
      </c>
      <c r="G77" s="20">
        <f t="shared" si="6"/>
        <v>0</v>
      </c>
      <c r="H77" s="18">
        <v>112.5</v>
      </c>
      <c r="I77" s="38">
        <f t="shared" si="7"/>
        <v>2.2727272727272729</v>
      </c>
      <c r="J77" s="39">
        <f t="shared" si="8"/>
        <v>12.5</v>
      </c>
      <c r="K77" s="40">
        <f t="shared" si="9"/>
        <v>12.5</v>
      </c>
    </row>
    <row r="78" spans="1:11" ht="15.75">
      <c r="A78" s="13" t="s">
        <v>38</v>
      </c>
      <c r="B78" s="3" t="s">
        <v>10</v>
      </c>
      <c r="C78" s="18">
        <v>20</v>
      </c>
      <c r="D78" s="18">
        <v>30</v>
      </c>
      <c r="E78" s="20">
        <f>(D78-C78)/C78*100</f>
        <v>50</v>
      </c>
      <c r="F78" s="18">
        <v>33</v>
      </c>
      <c r="G78" s="20">
        <f t="shared" si="6"/>
        <v>10</v>
      </c>
      <c r="H78" s="18">
        <v>33</v>
      </c>
      <c r="I78" s="38">
        <f t="shared" si="7"/>
        <v>0</v>
      </c>
      <c r="J78" s="39">
        <f t="shared" si="8"/>
        <v>13</v>
      </c>
      <c r="K78" s="40">
        <f t="shared" si="9"/>
        <v>65</v>
      </c>
    </row>
    <row r="79" spans="1:11" ht="15.75">
      <c r="A79" s="14"/>
      <c r="B79" s="3" t="s">
        <v>12</v>
      </c>
      <c r="C79" s="18">
        <v>60</v>
      </c>
      <c r="D79" s="18">
        <v>68</v>
      </c>
      <c r="E79" s="20">
        <f>(D79-C79)/C79*100</f>
        <v>13.333333333333334</v>
      </c>
      <c r="F79" s="18">
        <v>75</v>
      </c>
      <c r="G79" s="20">
        <f t="shared" si="6"/>
        <v>10.294117647058822</v>
      </c>
      <c r="H79" s="18">
        <v>80</v>
      </c>
      <c r="I79" s="38">
        <f t="shared" si="7"/>
        <v>6.666666666666667</v>
      </c>
      <c r="J79" s="39">
        <f t="shared" si="8"/>
        <v>20</v>
      </c>
      <c r="K79" s="40">
        <f t="shared" si="9"/>
        <v>33.333333333333329</v>
      </c>
    </row>
    <row r="80" spans="1:11" ht="15.75">
      <c r="A80" s="15"/>
      <c r="B80" s="3" t="s">
        <v>13</v>
      </c>
      <c r="C80" s="18">
        <v>50</v>
      </c>
      <c r="D80" s="21">
        <v>50</v>
      </c>
      <c r="E80" s="20">
        <f>(D80-C80)/C80*100</f>
        <v>0</v>
      </c>
      <c r="F80" s="18">
        <v>70</v>
      </c>
      <c r="G80" s="20">
        <f t="shared" si="6"/>
        <v>40</v>
      </c>
      <c r="H80" s="18"/>
      <c r="I80" s="38">
        <f t="shared" si="7"/>
        <v>-100</v>
      </c>
      <c r="J80" s="39">
        <f t="shared" si="8"/>
        <v>-50</v>
      </c>
      <c r="K80" s="40">
        <f t="shared" si="9"/>
        <v>-100</v>
      </c>
    </row>
    <row r="81" spans="1:11" ht="15.75">
      <c r="A81" s="13" t="s">
        <v>39</v>
      </c>
      <c r="B81" s="3" t="s">
        <v>10</v>
      </c>
      <c r="C81" s="18">
        <v>45</v>
      </c>
      <c r="D81" s="18">
        <v>47.5</v>
      </c>
      <c r="E81" s="20">
        <f>(D81-C81)/C81*100</f>
        <v>5.5555555555555554</v>
      </c>
      <c r="F81" s="18">
        <v>52.5</v>
      </c>
      <c r="G81" s="20">
        <f t="shared" si="6"/>
        <v>10.526315789473683</v>
      </c>
      <c r="H81" s="18">
        <v>55</v>
      </c>
      <c r="I81" s="38">
        <f t="shared" si="7"/>
        <v>4.7619047619047619</v>
      </c>
      <c r="J81" s="39">
        <f t="shared" si="8"/>
        <v>10</v>
      </c>
      <c r="K81" s="40">
        <f t="shared" si="9"/>
        <v>22.222222222222221</v>
      </c>
    </row>
    <row r="82" spans="1:11" ht="15.75">
      <c r="A82" s="14"/>
      <c r="B82" s="3" t="s">
        <v>12</v>
      </c>
      <c r="C82" s="18">
        <v>70</v>
      </c>
      <c r="D82" s="18">
        <v>95</v>
      </c>
      <c r="E82" s="20">
        <f>(D82-C82)/C82*100</f>
        <v>35.714285714285715</v>
      </c>
      <c r="F82" s="18">
        <v>95</v>
      </c>
      <c r="G82" s="20">
        <f t="shared" si="6"/>
        <v>0</v>
      </c>
      <c r="H82" s="18">
        <v>100</v>
      </c>
      <c r="I82" s="38">
        <f t="shared" si="7"/>
        <v>5.2631578947368416</v>
      </c>
      <c r="J82" s="39">
        <f t="shared" si="8"/>
        <v>30</v>
      </c>
      <c r="K82" s="40">
        <f t="shared" si="9"/>
        <v>42.857142857142854</v>
      </c>
    </row>
    <row r="83" spans="1:11" ht="15.75">
      <c r="A83" s="15"/>
      <c r="B83" s="3" t="s">
        <v>13</v>
      </c>
      <c r="C83" s="18">
        <v>55</v>
      </c>
      <c r="D83" s="18">
        <v>80</v>
      </c>
      <c r="E83" s="20">
        <f>(D83-C83)/C83*100</f>
        <v>45.454545454545453</v>
      </c>
      <c r="F83" s="18">
        <v>95</v>
      </c>
      <c r="G83" s="20">
        <f t="shared" si="6"/>
        <v>18.75</v>
      </c>
      <c r="H83" s="18">
        <v>105</v>
      </c>
      <c r="I83" s="38">
        <f t="shared" si="7"/>
        <v>10.526315789473683</v>
      </c>
      <c r="J83" s="39">
        <f t="shared" si="8"/>
        <v>50</v>
      </c>
      <c r="K83" s="40">
        <f t="shared" si="9"/>
        <v>90.909090909090907</v>
      </c>
    </row>
    <row r="84" spans="1:11" ht="15.75">
      <c r="A84" s="13" t="s">
        <v>40</v>
      </c>
      <c r="B84" s="3" t="s">
        <v>10</v>
      </c>
      <c r="C84" s="2">
        <v>45</v>
      </c>
      <c r="D84" s="18">
        <v>55</v>
      </c>
      <c r="E84" s="20">
        <f>(D84-C84)/C84*100</f>
        <v>22.222222222222221</v>
      </c>
      <c r="F84" s="18">
        <v>60</v>
      </c>
      <c r="G84" s="20">
        <f t="shared" si="6"/>
        <v>9.0909090909090917</v>
      </c>
      <c r="H84" s="18">
        <v>65</v>
      </c>
      <c r="I84" s="38">
        <f t="shared" si="7"/>
        <v>8.3333333333333321</v>
      </c>
      <c r="J84" s="39">
        <f t="shared" si="8"/>
        <v>20</v>
      </c>
      <c r="K84" s="40">
        <f t="shared" si="9"/>
        <v>44.444444444444443</v>
      </c>
    </row>
    <row r="85" spans="1:11" ht="15.75">
      <c r="A85" s="14"/>
      <c r="B85" s="3" t="s">
        <v>12</v>
      </c>
      <c r="C85" s="18">
        <v>85</v>
      </c>
      <c r="D85" s="18">
        <v>100</v>
      </c>
      <c r="E85" s="20">
        <f>(D85-C85)/C85*100</f>
        <v>17.647058823529413</v>
      </c>
      <c r="F85" s="18">
        <v>105</v>
      </c>
      <c r="G85" s="20">
        <f t="shared" si="6"/>
        <v>5</v>
      </c>
      <c r="H85" s="18">
        <v>110</v>
      </c>
      <c r="I85" s="38">
        <f t="shared" si="7"/>
        <v>4.7619047619047619</v>
      </c>
      <c r="J85" s="39">
        <f t="shared" si="8"/>
        <v>25</v>
      </c>
      <c r="K85" s="40">
        <f t="shared" si="9"/>
        <v>29.411764705882355</v>
      </c>
    </row>
    <row r="86" spans="1:11" ht="15.75">
      <c r="A86" s="15"/>
      <c r="B86" s="3" t="s">
        <v>13</v>
      </c>
      <c r="C86" s="18">
        <v>80</v>
      </c>
      <c r="D86" s="18">
        <v>92.5</v>
      </c>
      <c r="E86" s="20">
        <f>(D86-C86)/C86*100</f>
        <v>15.625</v>
      </c>
      <c r="F86" s="18">
        <v>102.5</v>
      </c>
      <c r="G86" s="20">
        <f t="shared" si="6"/>
        <v>10.810810810810811</v>
      </c>
      <c r="H86" s="18">
        <v>115</v>
      </c>
      <c r="I86" s="38">
        <f t="shared" si="7"/>
        <v>12.195121951219512</v>
      </c>
      <c r="J86" s="39">
        <f t="shared" si="8"/>
        <v>35</v>
      </c>
      <c r="K86" s="40">
        <f t="shared" si="9"/>
        <v>43.75</v>
      </c>
    </row>
    <row r="87" spans="1:11" ht="15.75">
      <c r="A87" s="13" t="s">
        <v>41</v>
      </c>
      <c r="B87" s="3" t="s">
        <v>10</v>
      </c>
      <c r="C87" s="18">
        <v>45</v>
      </c>
      <c r="D87" s="18">
        <v>45</v>
      </c>
      <c r="E87" s="20">
        <f>(D87-C87)/C87*100</f>
        <v>0</v>
      </c>
      <c r="F87" s="18">
        <v>50</v>
      </c>
      <c r="G87" s="20">
        <f t="shared" si="6"/>
        <v>11.111111111111111</v>
      </c>
      <c r="H87" s="18">
        <v>52.5</v>
      </c>
      <c r="I87" s="38">
        <f t="shared" si="7"/>
        <v>5</v>
      </c>
      <c r="J87" s="39">
        <f t="shared" si="8"/>
        <v>7.5</v>
      </c>
      <c r="K87" s="40">
        <f t="shared" si="9"/>
        <v>16.666666666666664</v>
      </c>
    </row>
    <row r="88" spans="1:11" ht="15.75">
      <c r="A88" s="14"/>
      <c r="B88" s="3" t="s">
        <v>12</v>
      </c>
      <c r="C88" s="18">
        <v>80</v>
      </c>
      <c r="D88" s="18">
        <v>90</v>
      </c>
      <c r="E88" s="20">
        <f>(D88-C88)/C88*100</f>
        <v>12.5</v>
      </c>
      <c r="F88" s="18">
        <v>100</v>
      </c>
      <c r="G88" s="20">
        <f t="shared" si="6"/>
        <v>11.111111111111111</v>
      </c>
      <c r="H88" s="18">
        <v>105</v>
      </c>
      <c r="I88" s="38">
        <f t="shared" si="7"/>
        <v>5</v>
      </c>
      <c r="J88" s="39">
        <f t="shared" si="8"/>
        <v>25</v>
      </c>
      <c r="K88" s="40">
        <f t="shared" si="9"/>
        <v>31.25</v>
      </c>
    </row>
    <row r="89" spans="1:11" ht="15.75">
      <c r="A89" s="15"/>
      <c r="B89" s="3" t="s">
        <v>13</v>
      </c>
      <c r="C89" s="18">
        <v>60</v>
      </c>
      <c r="D89" s="18">
        <v>80</v>
      </c>
      <c r="E89" s="20">
        <f>(D89-C89)/C89*100</f>
        <v>33.333333333333329</v>
      </c>
      <c r="F89" s="18">
        <v>90</v>
      </c>
      <c r="G89" s="20">
        <f t="shared" si="6"/>
        <v>12.5</v>
      </c>
      <c r="H89" s="18">
        <v>100</v>
      </c>
      <c r="I89" s="38">
        <f t="shared" si="7"/>
        <v>11.111111111111111</v>
      </c>
      <c r="J89" s="39">
        <f t="shared" si="8"/>
        <v>40</v>
      </c>
      <c r="K89" s="40">
        <f t="shared" si="9"/>
        <v>66.666666666666657</v>
      </c>
    </row>
    <row r="90" spans="1:11" ht="15.75">
      <c r="A90" s="13" t="s">
        <v>42</v>
      </c>
      <c r="B90" s="3" t="s">
        <v>10</v>
      </c>
      <c r="C90" s="18">
        <v>62.5</v>
      </c>
      <c r="D90" s="18">
        <v>67.5</v>
      </c>
      <c r="E90" s="20">
        <f>(D90-C90)/C90*100</f>
        <v>8</v>
      </c>
      <c r="F90" s="18">
        <v>67.5</v>
      </c>
      <c r="G90" s="20">
        <f t="shared" si="6"/>
        <v>0</v>
      </c>
      <c r="H90" s="18">
        <v>67.5</v>
      </c>
      <c r="I90" s="38">
        <f t="shared" si="7"/>
        <v>0</v>
      </c>
      <c r="J90" s="39">
        <f t="shared" si="8"/>
        <v>5</v>
      </c>
      <c r="K90" s="40">
        <f t="shared" si="9"/>
        <v>8</v>
      </c>
    </row>
    <row r="91" spans="1:11" ht="15.75">
      <c r="A91" s="14"/>
      <c r="B91" s="3" t="s">
        <v>12</v>
      </c>
      <c r="C91" s="18">
        <v>105</v>
      </c>
      <c r="D91" s="18">
        <v>125</v>
      </c>
      <c r="E91" s="20">
        <f>(D91-C91)/C91*100</f>
        <v>19.047619047619047</v>
      </c>
      <c r="F91" s="18">
        <v>130</v>
      </c>
      <c r="G91" s="20">
        <f t="shared" si="6"/>
        <v>4</v>
      </c>
      <c r="H91" s="18">
        <v>130</v>
      </c>
      <c r="I91" s="38">
        <f t="shared" si="7"/>
        <v>0</v>
      </c>
      <c r="J91" s="39">
        <f t="shared" si="8"/>
        <v>25</v>
      </c>
      <c r="K91" s="40">
        <f t="shared" si="9"/>
        <v>23.809523809523807</v>
      </c>
    </row>
    <row r="92" spans="1:11" ht="15.75">
      <c r="A92" s="15"/>
      <c r="B92" s="3" t="s">
        <v>13</v>
      </c>
      <c r="C92" s="18">
        <v>90</v>
      </c>
      <c r="D92" s="18">
        <v>95</v>
      </c>
      <c r="E92" s="20">
        <f>(D92-C92)/C92*100</f>
        <v>5.5555555555555554</v>
      </c>
      <c r="F92" s="18">
        <v>105</v>
      </c>
      <c r="G92" s="20">
        <f t="shared" si="6"/>
        <v>10.526315789473683</v>
      </c>
      <c r="H92" s="18"/>
      <c r="I92" s="38">
        <f t="shared" si="7"/>
        <v>-100</v>
      </c>
      <c r="J92" s="39">
        <f t="shared" si="8"/>
        <v>-90</v>
      </c>
      <c r="K92" s="40">
        <f t="shared" si="9"/>
        <v>-100</v>
      </c>
    </row>
    <row r="93" spans="1:11" ht="15.75">
      <c r="A93" s="13" t="s">
        <v>43</v>
      </c>
      <c r="B93" s="3" t="s">
        <v>10</v>
      </c>
      <c r="C93" s="18">
        <v>55</v>
      </c>
      <c r="D93" s="18">
        <v>60</v>
      </c>
      <c r="E93" s="20">
        <f>(D93-C93)/C93*100</f>
        <v>9.0909090909090917</v>
      </c>
      <c r="F93" s="18">
        <v>65</v>
      </c>
      <c r="G93" s="20">
        <f t="shared" si="6"/>
        <v>8.3333333333333321</v>
      </c>
      <c r="H93" s="18">
        <v>65</v>
      </c>
      <c r="I93" s="38">
        <f t="shared" si="7"/>
        <v>0</v>
      </c>
      <c r="J93" s="39">
        <f t="shared" si="8"/>
        <v>10</v>
      </c>
      <c r="K93" s="40">
        <f t="shared" si="9"/>
        <v>18.181818181818183</v>
      </c>
    </row>
    <row r="94" spans="1:11" ht="15.75">
      <c r="A94" s="14"/>
      <c r="B94" s="3" t="s">
        <v>12</v>
      </c>
      <c r="C94" s="18">
        <v>80</v>
      </c>
      <c r="D94" s="18">
        <v>95</v>
      </c>
      <c r="E94" s="20">
        <f>(D94-C94)/C94*100</f>
        <v>18.75</v>
      </c>
      <c r="F94" s="18">
        <v>100</v>
      </c>
      <c r="G94" s="20">
        <f t="shared" si="6"/>
        <v>5.2631578947368416</v>
      </c>
      <c r="H94" s="18">
        <v>105</v>
      </c>
      <c r="I94" s="38">
        <f t="shared" si="7"/>
        <v>5</v>
      </c>
      <c r="J94" s="39">
        <f t="shared" si="8"/>
        <v>25</v>
      </c>
      <c r="K94" s="40">
        <f t="shared" si="9"/>
        <v>31.25</v>
      </c>
    </row>
    <row r="95" spans="1:11" ht="15.75">
      <c r="A95" s="15"/>
      <c r="B95" s="3" t="s">
        <v>13</v>
      </c>
      <c r="C95" s="18">
        <v>70</v>
      </c>
      <c r="D95" s="18">
        <v>80</v>
      </c>
      <c r="E95" s="20">
        <f>(D95-C95)/C95*100</f>
        <v>14.285714285714285</v>
      </c>
      <c r="F95" s="18">
        <v>90</v>
      </c>
      <c r="G95" s="20">
        <f t="shared" si="6"/>
        <v>12.5</v>
      </c>
      <c r="H95" s="18">
        <v>97.5</v>
      </c>
      <c r="I95" s="38">
        <f t="shared" si="7"/>
        <v>8.3333333333333321</v>
      </c>
      <c r="J95" s="39">
        <f t="shared" si="8"/>
        <v>27.5</v>
      </c>
      <c r="K95" s="40">
        <f t="shared" si="9"/>
        <v>39.285714285714285</v>
      </c>
    </row>
    <row r="96" spans="1:11" ht="15.75">
      <c r="A96" s="13" t="s">
        <v>44</v>
      </c>
      <c r="B96" s="3" t="s">
        <v>10</v>
      </c>
      <c r="C96" s="18">
        <v>75</v>
      </c>
      <c r="D96" s="18">
        <v>80</v>
      </c>
      <c r="E96" s="20">
        <f>(D96-C96)/C96*100</f>
        <v>6.666666666666667</v>
      </c>
      <c r="F96" s="18">
        <v>80</v>
      </c>
      <c r="G96" s="20">
        <f t="shared" si="6"/>
        <v>0</v>
      </c>
      <c r="H96" s="18"/>
      <c r="I96" s="38">
        <f t="shared" si="7"/>
        <v>-100</v>
      </c>
      <c r="J96" s="39">
        <f t="shared" si="8"/>
        <v>-75</v>
      </c>
      <c r="K96" s="40">
        <f t="shared" si="9"/>
        <v>-100</v>
      </c>
    </row>
    <row r="97" spans="1:11" ht="15.75">
      <c r="A97" s="14"/>
      <c r="B97" s="3" t="s">
        <v>12</v>
      </c>
      <c r="C97" s="18">
        <v>115</v>
      </c>
      <c r="D97" s="18">
        <v>130</v>
      </c>
      <c r="E97" s="20">
        <f>(D97-C97)/C97*100</f>
        <v>13.043478260869565</v>
      </c>
      <c r="F97" s="18">
        <v>135</v>
      </c>
      <c r="G97" s="20">
        <f t="shared" si="6"/>
        <v>3.8461538461538463</v>
      </c>
      <c r="H97" s="18"/>
      <c r="I97" s="38">
        <f t="shared" si="7"/>
        <v>-100</v>
      </c>
      <c r="J97" s="39">
        <f t="shared" si="8"/>
        <v>-115</v>
      </c>
      <c r="K97" s="40">
        <f t="shared" si="9"/>
        <v>-100</v>
      </c>
    </row>
    <row r="98" spans="1:11" ht="15.75">
      <c r="A98" s="15"/>
      <c r="B98" s="3" t="s">
        <v>13</v>
      </c>
      <c r="C98" s="18">
        <v>105</v>
      </c>
      <c r="D98" s="18">
        <v>125</v>
      </c>
      <c r="E98" s="20">
        <f>(D98-C98)/C98*100</f>
        <v>19.047619047619047</v>
      </c>
      <c r="F98" s="18">
        <v>140</v>
      </c>
      <c r="G98" s="20">
        <f t="shared" si="6"/>
        <v>12</v>
      </c>
      <c r="H98" s="18"/>
      <c r="I98" s="38">
        <f t="shared" si="7"/>
        <v>-100</v>
      </c>
      <c r="J98" s="39">
        <f t="shared" si="8"/>
        <v>-105</v>
      </c>
      <c r="K98" s="40">
        <f t="shared" si="9"/>
        <v>-100</v>
      </c>
    </row>
    <row r="99" spans="1:11" ht="15.75">
      <c r="A99" s="11" t="s">
        <v>45</v>
      </c>
      <c r="B99" s="3" t="s">
        <v>10</v>
      </c>
      <c r="C99" s="18">
        <v>60</v>
      </c>
      <c r="D99" s="18">
        <v>60</v>
      </c>
      <c r="E99" s="20">
        <f>(D99-C99)/C99*100</f>
        <v>0</v>
      </c>
      <c r="F99" s="18">
        <v>60</v>
      </c>
      <c r="G99" s="20">
        <f t="shared" si="6"/>
        <v>0</v>
      </c>
      <c r="H99" s="18">
        <v>65</v>
      </c>
      <c r="I99" s="38">
        <f t="shared" si="7"/>
        <v>8.3333333333333321</v>
      </c>
      <c r="J99" s="39">
        <f t="shared" si="8"/>
        <v>5</v>
      </c>
      <c r="K99" s="40">
        <f t="shared" si="9"/>
        <v>8.3333333333333321</v>
      </c>
    </row>
    <row r="100" spans="1:11" ht="15.75">
      <c r="A100" s="16"/>
      <c r="B100" s="3" t="s">
        <v>12</v>
      </c>
      <c r="C100" s="18">
        <v>100</v>
      </c>
      <c r="D100" s="18">
        <v>120</v>
      </c>
      <c r="E100" s="20">
        <f>(D100-C100)/C100*100</f>
        <v>20</v>
      </c>
      <c r="F100" s="18">
        <v>120</v>
      </c>
      <c r="G100" s="20">
        <f t="shared" si="6"/>
        <v>0</v>
      </c>
      <c r="H100" s="18">
        <v>130</v>
      </c>
      <c r="I100" s="38">
        <f t="shared" si="7"/>
        <v>8.3333333333333321</v>
      </c>
      <c r="J100" s="39">
        <f t="shared" si="8"/>
        <v>30</v>
      </c>
      <c r="K100" s="40">
        <f t="shared" si="9"/>
        <v>30</v>
      </c>
    </row>
    <row r="101" spans="1:11" ht="15.75">
      <c r="A101" s="17"/>
      <c r="B101" s="3" t="s">
        <v>13</v>
      </c>
      <c r="C101" s="18">
        <v>80</v>
      </c>
      <c r="D101" s="18">
        <v>100</v>
      </c>
      <c r="E101" s="20">
        <f>(D101-C101)/C101*100</f>
        <v>25</v>
      </c>
      <c r="F101" s="18"/>
      <c r="G101" s="20">
        <f t="shared" si="6"/>
        <v>-100</v>
      </c>
      <c r="H101" s="18"/>
      <c r="I101" s="38" t="e">
        <f t="shared" si="7"/>
        <v>#DIV/0!</v>
      </c>
      <c r="J101" s="39">
        <f t="shared" si="8"/>
        <v>-80</v>
      </c>
      <c r="K101" s="40">
        <f t="shared" si="9"/>
        <v>-100</v>
      </c>
    </row>
    <row r="102" spans="1:11" ht="15.75">
      <c r="A102" s="11" t="s">
        <v>46</v>
      </c>
      <c r="B102" s="3" t="s">
        <v>10</v>
      </c>
      <c r="C102" s="18">
        <v>60</v>
      </c>
      <c r="D102" s="21">
        <v>60</v>
      </c>
      <c r="E102" s="20">
        <f>(D102-C102)/C102*100</f>
        <v>0</v>
      </c>
      <c r="F102" s="18">
        <v>65</v>
      </c>
      <c r="G102" s="20">
        <f t="shared" si="6"/>
        <v>8.3333333333333321</v>
      </c>
      <c r="H102" s="18">
        <v>70</v>
      </c>
      <c r="I102" s="38">
        <f t="shared" si="7"/>
        <v>7.6923076923076925</v>
      </c>
      <c r="J102" s="39">
        <f t="shared" si="8"/>
        <v>10</v>
      </c>
      <c r="K102" s="40">
        <f t="shared" si="9"/>
        <v>16.666666666666664</v>
      </c>
    </row>
    <row r="103" spans="1:11" ht="15.75">
      <c r="A103" s="16"/>
      <c r="B103" s="3" t="s">
        <v>12</v>
      </c>
      <c r="C103" s="18">
        <v>110</v>
      </c>
      <c r="D103" s="21">
        <v>110</v>
      </c>
      <c r="E103" s="20">
        <f>(D103-C103)/C103*100</f>
        <v>0</v>
      </c>
      <c r="F103" s="18">
        <v>120</v>
      </c>
      <c r="G103" s="20">
        <f t="shared" si="6"/>
        <v>9.0909090909090917</v>
      </c>
      <c r="H103" s="18">
        <v>120</v>
      </c>
      <c r="I103" s="38">
        <f t="shared" si="7"/>
        <v>0</v>
      </c>
      <c r="J103" s="39">
        <f t="shared" si="8"/>
        <v>10</v>
      </c>
      <c r="K103" s="40">
        <f t="shared" si="9"/>
        <v>9.0909090909090917</v>
      </c>
    </row>
    <row r="104" spans="1:11" ht="15.75">
      <c r="A104" s="17"/>
      <c r="B104" s="3" t="s">
        <v>13</v>
      </c>
      <c r="C104" s="2">
        <v>75</v>
      </c>
      <c r="D104" s="22">
        <v>75</v>
      </c>
      <c r="E104" s="20">
        <f>(D104-C104)/C104*100</f>
        <v>0</v>
      </c>
      <c r="F104" s="18">
        <v>90</v>
      </c>
      <c r="G104" s="20">
        <f t="shared" si="6"/>
        <v>20</v>
      </c>
      <c r="H104" s="18">
        <v>92.5</v>
      </c>
      <c r="I104" s="38">
        <f t="shared" si="7"/>
        <v>2.7777777777777777</v>
      </c>
      <c r="J104" s="39">
        <f t="shared" si="8"/>
        <v>17.5</v>
      </c>
      <c r="K104" s="40">
        <f t="shared" si="9"/>
        <v>23.333333333333332</v>
      </c>
    </row>
    <row r="105" spans="1:11" ht="15.75">
      <c r="A105" s="11" t="s">
        <v>47</v>
      </c>
      <c r="B105" s="3" t="s">
        <v>10</v>
      </c>
      <c r="C105" s="2">
        <v>60</v>
      </c>
      <c r="D105" s="2">
        <v>65</v>
      </c>
      <c r="E105" s="20">
        <f>(D105-C105)/C105*100</f>
        <v>8.3333333333333321</v>
      </c>
      <c r="F105" s="18">
        <v>70</v>
      </c>
      <c r="G105" s="20">
        <f t="shared" si="6"/>
        <v>7.6923076923076925</v>
      </c>
      <c r="H105" s="18">
        <v>80</v>
      </c>
      <c r="I105" s="38">
        <f t="shared" si="7"/>
        <v>14.285714285714285</v>
      </c>
      <c r="J105" s="39">
        <f t="shared" si="8"/>
        <v>20</v>
      </c>
      <c r="K105" s="40">
        <f t="shared" si="9"/>
        <v>33.333333333333329</v>
      </c>
    </row>
    <row r="106" spans="1:11" ht="15.75">
      <c r="A106" s="16"/>
      <c r="B106" s="3" t="s">
        <v>12</v>
      </c>
      <c r="C106" s="2">
        <v>60</v>
      </c>
      <c r="D106" s="2">
        <v>100</v>
      </c>
      <c r="E106" s="20">
        <f>(D106-C106)/C106*100</f>
        <v>66.666666666666657</v>
      </c>
      <c r="F106" s="18">
        <v>110</v>
      </c>
      <c r="G106" s="20">
        <f t="shared" si="6"/>
        <v>10</v>
      </c>
      <c r="H106" s="18">
        <v>120</v>
      </c>
      <c r="I106" s="38">
        <f t="shared" si="7"/>
        <v>9.0909090909090917</v>
      </c>
      <c r="J106" s="39">
        <f t="shared" si="8"/>
        <v>60</v>
      </c>
      <c r="K106" s="40">
        <f t="shared" si="9"/>
        <v>100</v>
      </c>
    </row>
    <row r="107" spans="1:11" ht="15.75">
      <c r="A107" s="17"/>
      <c r="B107" s="3" t="s">
        <v>13</v>
      </c>
      <c r="C107" s="2">
        <v>80</v>
      </c>
      <c r="D107" s="2">
        <v>115</v>
      </c>
      <c r="E107" s="20">
        <f>(D107-C107)/C107*100</f>
        <v>43.75</v>
      </c>
      <c r="F107" s="18">
        <v>115</v>
      </c>
      <c r="G107" s="20">
        <f t="shared" si="6"/>
        <v>0</v>
      </c>
      <c r="H107" s="18">
        <v>125</v>
      </c>
      <c r="I107" s="38">
        <f t="shared" si="7"/>
        <v>8.695652173913043</v>
      </c>
      <c r="J107" s="39">
        <f t="shared" si="8"/>
        <v>45</v>
      </c>
      <c r="K107" s="40">
        <f t="shared" si="9"/>
        <v>56.25</v>
      </c>
    </row>
    <row r="108" spans="1:11" ht="15.75">
      <c r="A108" s="11" t="s">
        <v>48</v>
      </c>
      <c r="B108" s="3" t="s">
        <v>10</v>
      </c>
      <c r="C108" s="2">
        <v>60</v>
      </c>
      <c r="D108" s="2">
        <v>65</v>
      </c>
      <c r="E108" s="20">
        <f>(D108-C108)/C108*100</f>
        <v>8.3333333333333321</v>
      </c>
      <c r="F108" s="18">
        <v>70</v>
      </c>
      <c r="G108" s="20">
        <f t="shared" si="6"/>
        <v>7.6923076923076925</v>
      </c>
      <c r="H108" s="18">
        <v>72.5</v>
      </c>
      <c r="I108" s="38">
        <f t="shared" si="7"/>
        <v>3.5714285714285712</v>
      </c>
      <c r="J108" s="39">
        <f t="shared" si="8"/>
        <v>12.5</v>
      </c>
      <c r="K108" s="40">
        <f t="shared" si="9"/>
        <v>20.833333333333336</v>
      </c>
    </row>
    <row r="109" spans="1:11" ht="15.75">
      <c r="A109" s="16"/>
      <c r="B109" s="3" t="s">
        <v>12</v>
      </c>
      <c r="C109" s="2">
        <v>100</v>
      </c>
      <c r="D109" s="2">
        <v>110</v>
      </c>
      <c r="E109" s="20">
        <f>(D109-C109)/C109*100</f>
        <v>10</v>
      </c>
      <c r="F109" s="18">
        <v>115</v>
      </c>
      <c r="G109" s="20">
        <f t="shared" si="6"/>
        <v>4.5454545454545459</v>
      </c>
      <c r="H109" s="18">
        <v>115</v>
      </c>
      <c r="I109" s="38">
        <f t="shared" si="7"/>
        <v>0</v>
      </c>
      <c r="J109" s="39">
        <f t="shared" si="8"/>
        <v>15</v>
      </c>
      <c r="K109" s="40">
        <f t="shared" si="9"/>
        <v>15</v>
      </c>
    </row>
    <row r="110" spans="1:11" ht="15.75">
      <c r="A110" s="17"/>
      <c r="B110" s="3" t="s">
        <v>13</v>
      </c>
      <c r="C110" s="2">
        <v>80</v>
      </c>
      <c r="D110" s="2">
        <v>80</v>
      </c>
      <c r="E110" s="20">
        <v>100</v>
      </c>
      <c r="F110" s="18">
        <v>105</v>
      </c>
      <c r="G110" s="20">
        <f t="shared" si="6"/>
        <v>31.25</v>
      </c>
      <c r="H110" s="18">
        <v>110</v>
      </c>
      <c r="I110" s="38">
        <f t="shared" si="7"/>
        <v>4.7619047619047619</v>
      </c>
      <c r="J110" s="39">
        <f t="shared" si="8"/>
        <v>30</v>
      </c>
      <c r="K110" s="40">
        <f t="shared" si="9"/>
        <v>37.5</v>
      </c>
    </row>
    <row r="111" spans="1:11" ht="15.75">
      <c r="A111" s="11" t="s">
        <v>49</v>
      </c>
      <c r="B111" s="3" t="s">
        <v>10</v>
      </c>
      <c r="C111" s="2">
        <v>55</v>
      </c>
      <c r="D111" s="2">
        <v>62</v>
      </c>
      <c r="E111" s="20">
        <f>(D111-C111)/C111*100</f>
        <v>12.727272727272727</v>
      </c>
      <c r="F111" s="18">
        <v>62</v>
      </c>
      <c r="G111" s="20">
        <f t="shared" si="6"/>
        <v>0</v>
      </c>
      <c r="H111" s="18">
        <v>65</v>
      </c>
      <c r="I111" s="38">
        <f t="shared" si="7"/>
        <v>4.838709677419355</v>
      </c>
      <c r="J111" s="39">
        <f t="shared" si="8"/>
        <v>10</v>
      </c>
      <c r="K111" s="40">
        <f t="shared" si="9"/>
        <v>18.181818181818183</v>
      </c>
    </row>
    <row r="112" spans="1:11" ht="15.75">
      <c r="A112" s="16"/>
      <c r="B112" s="3" t="s">
        <v>12</v>
      </c>
      <c r="C112" s="2">
        <v>100</v>
      </c>
      <c r="D112" s="2">
        <v>120</v>
      </c>
      <c r="E112" s="20">
        <f>(D112-C112)/C112*100</f>
        <v>20</v>
      </c>
      <c r="F112" s="18">
        <v>120</v>
      </c>
      <c r="G112" s="20">
        <f t="shared" si="6"/>
        <v>0</v>
      </c>
      <c r="H112" s="18">
        <v>125</v>
      </c>
      <c r="I112" s="38">
        <f t="shared" si="7"/>
        <v>4.1666666666666661</v>
      </c>
      <c r="J112" s="39">
        <f t="shared" si="8"/>
        <v>25</v>
      </c>
      <c r="K112" s="40">
        <f t="shared" si="9"/>
        <v>25</v>
      </c>
    </row>
    <row r="113" spans="1:11" ht="15.75">
      <c r="A113" s="17"/>
      <c r="B113" s="3" t="s">
        <v>13</v>
      </c>
      <c r="C113" s="2">
        <v>70</v>
      </c>
      <c r="D113" s="2">
        <v>90</v>
      </c>
      <c r="E113" s="20">
        <f>(D113-C113)/C113*100</f>
        <v>28.571428571428569</v>
      </c>
      <c r="F113" s="18">
        <v>90</v>
      </c>
      <c r="G113" s="20">
        <f t="shared" si="6"/>
        <v>0</v>
      </c>
      <c r="H113" s="18">
        <v>110</v>
      </c>
      <c r="I113" s="38">
        <f t="shared" si="7"/>
        <v>22.222222222222221</v>
      </c>
      <c r="J113" s="39">
        <f t="shared" si="8"/>
        <v>40</v>
      </c>
      <c r="K113" s="40">
        <f t="shared" si="9"/>
        <v>57.142857142857139</v>
      </c>
    </row>
    <row r="114" spans="1:11" ht="15.75">
      <c r="A114" s="11" t="s">
        <v>50</v>
      </c>
      <c r="B114" s="3" t="s">
        <v>10</v>
      </c>
      <c r="C114" s="2">
        <v>80</v>
      </c>
      <c r="D114" s="22">
        <v>80</v>
      </c>
      <c r="E114" s="20">
        <f>(D114-C114)/C114*100</f>
        <v>0</v>
      </c>
      <c r="F114" s="18">
        <v>82.5</v>
      </c>
      <c r="G114" s="20">
        <f t="shared" si="6"/>
        <v>3.125</v>
      </c>
      <c r="H114" s="18">
        <v>85</v>
      </c>
      <c r="I114" s="38">
        <f t="shared" si="7"/>
        <v>3.0303030303030303</v>
      </c>
      <c r="J114" s="39">
        <f t="shared" si="8"/>
        <v>5</v>
      </c>
      <c r="K114" s="40">
        <f t="shared" si="9"/>
        <v>6.25</v>
      </c>
    </row>
    <row r="115" spans="1:11" ht="15.75">
      <c r="A115" s="16"/>
      <c r="B115" s="3" t="s">
        <v>12</v>
      </c>
      <c r="C115" s="2">
        <v>110</v>
      </c>
      <c r="D115" s="2">
        <v>110</v>
      </c>
      <c r="E115" s="20">
        <f>(D115-C115)/C115*100</f>
        <v>0</v>
      </c>
      <c r="F115" s="18">
        <v>120</v>
      </c>
      <c r="G115" s="20">
        <f t="shared" si="6"/>
        <v>9.0909090909090917</v>
      </c>
      <c r="H115" s="18">
        <v>125</v>
      </c>
      <c r="I115" s="38">
        <f t="shared" si="7"/>
        <v>4.1666666666666661</v>
      </c>
      <c r="J115" s="39">
        <f t="shared" si="8"/>
        <v>15</v>
      </c>
      <c r="K115" s="40">
        <f t="shared" si="9"/>
        <v>13.636363636363635</v>
      </c>
    </row>
    <row r="116" spans="1:11" ht="15.75">
      <c r="A116" s="17" t="s">
        <v>51</v>
      </c>
      <c r="B116" s="3" t="s">
        <v>13</v>
      </c>
      <c r="C116" s="2">
        <v>80</v>
      </c>
      <c r="D116" s="2">
        <v>100</v>
      </c>
      <c r="E116" s="20">
        <f>(D116-C116)/C116*100</f>
        <v>25</v>
      </c>
      <c r="F116" s="18">
        <v>110</v>
      </c>
      <c r="G116" s="20">
        <f t="shared" si="6"/>
        <v>10</v>
      </c>
      <c r="H116" s="18">
        <v>120</v>
      </c>
      <c r="I116" s="38">
        <f t="shared" si="7"/>
        <v>9.0909090909090917</v>
      </c>
      <c r="J116" s="39">
        <f t="shared" si="8"/>
        <v>40</v>
      </c>
      <c r="K116" s="40">
        <f t="shared" si="9"/>
        <v>50</v>
      </c>
    </row>
    <row r="117" spans="1:11" ht="15.75">
      <c r="A117" s="11" t="s">
        <v>52</v>
      </c>
      <c r="B117" s="3" t="s">
        <v>10</v>
      </c>
      <c r="C117" s="2">
        <v>45</v>
      </c>
      <c r="D117" s="2">
        <v>47.5</v>
      </c>
      <c r="E117" s="20">
        <f>(D117-C117)/C117*100</f>
        <v>5.5555555555555554</v>
      </c>
      <c r="F117" s="18">
        <v>55</v>
      </c>
      <c r="G117" s="20">
        <f t="shared" si="6"/>
        <v>15.789473684210526</v>
      </c>
      <c r="H117" s="18">
        <v>58.5</v>
      </c>
      <c r="I117" s="38">
        <f t="shared" si="7"/>
        <v>6.3636363636363633</v>
      </c>
      <c r="J117" s="39">
        <f t="shared" si="8"/>
        <v>13.5</v>
      </c>
      <c r="K117" s="40">
        <f t="shared" si="9"/>
        <v>30</v>
      </c>
    </row>
    <row r="118" spans="1:11" ht="15.75">
      <c r="A118" s="16"/>
      <c r="B118" s="3" t="s">
        <v>12</v>
      </c>
      <c r="C118" s="2">
        <v>80</v>
      </c>
      <c r="D118" s="2">
        <v>90</v>
      </c>
      <c r="E118" s="20">
        <f>(D118-C118)/C118*100</f>
        <v>12.5</v>
      </c>
      <c r="F118" s="2">
        <v>100</v>
      </c>
      <c r="G118" s="20">
        <f t="shared" si="6"/>
        <v>11.111111111111111</v>
      </c>
      <c r="H118" s="2">
        <v>110</v>
      </c>
      <c r="I118" s="38">
        <f t="shared" si="7"/>
        <v>10</v>
      </c>
      <c r="J118" s="39">
        <f t="shared" si="8"/>
        <v>30</v>
      </c>
      <c r="K118" s="40">
        <f t="shared" si="9"/>
        <v>37.5</v>
      </c>
    </row>
    <row r="119" spans="1:11" ht="15.75">
      <c r="A119" s="17"/>
      <c r="B119" s="3" t="s">
        <v>13</v>
      </c>
      <c r="C119" s="2">
        <v>65</v>
      </c>
      <c r="D119" s="2">
        <v>75</v>
      </c>
      <c r="E119" s="20">
        <f>(D119-C119)/C119*100</f>
        <v>15.384615384615385</v>
      </c>
      <c r="F119" s="2">
        <v>70</v>
      </c>
      <c r="G119" s="20">
        <f t="shared" si="6"/>
        <v>-6.666666666666667</v>
      </c>
      <c r="H119" s="2">
        <v>95</v>
      </c>
      <c r="I119" s="38">
        <f t="shared" si="7"/>
        <v>35.714285714285715</v>
      </c>
      <c r="J119" s="39">
        <f t="shared" si="8"/>
        <v>30</v>
      </c>
      <c r="K119" s="40">
        <f t="shared" si="9"/>
        <v>46.153846153846153</v>
      </c>
    </row>
    <row r="120" spans="1:11" ht="15.75">
      <c r="A120" s="11" t="s">
        <v>53</v>
      </c>
      <c r="B120" s="3" t="s">
        <v>10</v>
      </c>
      <c r="C120" s="2">
        <v>75</v>
      </c>
      <c r="D120" s="2">
        <v>80</v>
      </c>
      <c r="E120" s="20">
        <f>(D120-C120)/C120*100</f>
        <v>6.666666666666667</v>
      </c>
      <c r="F120" s="2">
        <v>90</v>
      </c>
      <c r="G120" s="20">
        <f t="shared" si="6"/>
        <v>12.5</v>
      </c>
      <c r="H120" s="2">
        <v>92.5</v>
      </c>
      <c r="I120" s="38">
        <f t="shared" si="7"/>
        <v>2.7777777777777777</v>
      </c>
      <c r="J120" s="39">
        <f t="shared" si="8"/>
        <v>17.5</v>
      </c>
      <c r="K120" s="40">
        <f t="shared" si="9"/>
        <v>23.333333333333332</v>
      </c>
    </row>
    <row r="121" spans="1:11" ht="15.75">
      <c r="A121" s="16"/>
      <c r="B121" s="3" t="s">
        <v>12</v>
      </c>
      <c r="C121" s="2">
        <v>125</v>
      </c>
      <c r="D121" s="2">
        <v>140</v>
      </c>
      <c r="E121" s="20">
        <f>(D121-C121)/C121*100</f>
        <v>12</v>
      </c>
      <c r="F121" s="2">
        <v>150</v>
      </c>
      <c r="G121" s="20">
        <f t="shared" si="6"/>
        <v>7.1428571428571423</v>
      </c>
      <c r="H121" s="2">
        <v>150</v>
      </c>
      <c r="I121" s="38">
        <f t="shared" si="7"/>
        <v>0</v>
      </c>
      <c r="J121" s="39">
        <f t="shared" si="8"/>
        <v>25</v>
      </c>
      <c r="K121" s="40">
        <f t="shared" si="9"/>
        <v>20</v>
      </c>
    </row>
    <row r="122" spans="1:11" ht="15.75">
      <c r="A122" s="17"/>
      <c r="B122" s="3" t="s">
        <v>13</v>
      </c>
      <c r="C122" s="2">
        <v>100</v>
      </c>
      <c r="D122" s="2">
        <v>125</v>
      </c>
      <c r="E122" s="20">
        <f>(D122-C122)/C122*100</f>
        <v>25</v>
      </c>
      <c r="F122" s="2">
        <v>140</v>
      </c>
      <c r="G122" s="20">
        <f t="shared" si="6"/>
        <v>12</v>
      </c>
      <c r="H122" s="2">
        <v>140</v>
      </c>
      <c r="I122" s="38">
        <f t="shared" si="7"/>
        <v>0</v>
      </c>
      <c r="J122" s="39">
        <f t="shared" si="8"/>
        <v>40</v>
      </c>
      <c r="K122" s="40">
        <f t="shared" si="9"/>
        <v>40</v>
      </c>
    </row>
    <row r="123" spans="1:11" ht="15.75">
      <c r="A123" s="11" t="s">
        <v>54</v>
      </c>
      <c r="B123" s="3" t="s">
        <v>10</v>
      </c>
      <c r="C123" s="2">
        <v>40</v>
      </c>
      <c r="D123" s="2">
        <v>50</v>
      </c>
      <c r="E123" s="20">
        <f>(D123-C123)/C123*100</f>
        <v>25</v>
      </c>
      <c r="F123" s="2">
        <v>52.5</v>
      </c>
      <c r="G123" s="20">
        <f t="shared" si="6"/>
        <v>5</v>
      </c>
      <c r="H123" s="2">
        <v>55</v>
      </c>
      <c r="I123" s="38">
        <f t="shared" si="7"/>
        <v>4.7619047619047619</v>
      </c>
      <c r="J123" s="39">
        <f t="shared" si="8"/>
        <v>15</v>
      </c>
      <c r="K123" s="40">
        <f t="shared" si="9"/>
        <v>37.5</v>
      </c>
    </row>
    <row r="124" spans="1:11" ht="15.75">
      <c r="A124" s="16"/>
      <c r="B124" s="3" t="s">
        <v>12</v>
      </c>
      <c r="C124" s="2">
        <v>80</v>
      </c>
      <c r="D124" s="2">
        <v>105</v>
      </c>
      <c r="E124" s="20">
        <f>(D124-C124)/C124*100</f>
        <v>31.25</v>
      </c>
      <c r="F124" s="2">
        <v>115</v>
      </c>
      <c r="G124" s="20">
        <f t="shared" si="6"/>
        <v>9.5238095238095237</v>
      </c>
      <c r="H124" s="2">
        <v>125</v>
      </c>
      <c r="I124" s="38">
        <f t="shared" si="7"/>
        <v>8.695652173913043</v>
      </c>
      <c r="J124" s="39">
        <f t="shared" si="8"/>
        <v>45</v>
      </c>
      <c r="K124" s="40">
        <f t="shared" si="9"/>
        <v>56.25</v>
      </c>
    </row>
    <row r="125" spans="1:11" ht="15.75">
      <c r="A125" s="17"/>
      <c r="B125" s="3" t="s">
        <v>13</v>
      </c>
      <c r="C125" s="2">
        <v>65</v>
      </c>
      <c r="D125" s="2">
        <v>90</v>
      </c>
      <c r="E125" s="20">
        <f>(D125-C125)/C125*100</f>
        <v>38.461538461538467</v>
      </c>
      <c r="F125" s="2">
        <v>105</v>
      </c>
      <c r="G125" s="20">
        <f t="shared" ref="G125:G140" si="10">(F125-D125)/D125*100</f>
        <v>16.666666666666664</v>
      </c>
      <c r="H125" s="2">
        <v>110</v>
      </c>
      <c r="I125" s="38">
        <f t="shared" ref="I125:I146" si="11">(H125-F125)/F125*100</f>
        <v>4.7619047619047619</v>
      </c>
      <c r="J125" s="39">
        <f t="shared" ref="J125:J146" si="12">H125-C125</f>
        <v>45</v>
      </c>
      <c r="K125" s="40">
        <f t="shared" ref="K125:K146" si="13">J125/C125*100</f>
        <v>69.230769230769226</v>
      </c>
    </row>
    <row r="126" spans="1:11" ht="15.75">
      <c r="A126" s="11" t="s">
        <v>55</v>
      </c>
      <c r="B126" s="3" t="s">
        <v>10</v>
      </c>
      <c r="C126" s="2">
        <v>40</v>
      </c>
      <c r="D126" s="2">
        <v>45</v>
      </c>
      <c r="E126" s="20">
        <f>(D126-C126)/C126*100</f>
        <v>12.5</v>
      </c>
      <c r="F126" s="2">
        <v>55</v>
      </c>
      <c r="G126" s="20">
        <f t="shared" si="10"/>
        <v>22.222222222222221</v>
      </c>
      <c r="H126" s="2">
        <v>55</v>
      </c>
      <c r="I126" s="38">
        <f t="shared" si="11"/>
        <v>0</v>
      </c>
      <c r="J126" s="39">
        <f t="shared" si="12"/>
        <v>15</v>
      </c>
      <c r="K126" s="40">
        <f t="shared" si="13"/>
        <v>37.5</v>
      </c>
    </row>
    <row r="127" spans="1:11" ht="15.75">
      <c r="A127" s="16"/>
      <c r="B127" s="3" t="s">
        <v>12</v>
      </c>
      <c r="C127" s="2">
        <v>70</v>
      </c>
      <c r="D127" s="2">
        <v>90</v>
      </c>
      <c r="E127" s="20">
        <f>(D127-C127)/C127*100</f>
        <v>28.571428571428569</v>
      </c>
      <c r="F127" s="2">
        <v>105</v>
      </c>
      <c r="G127" s="20">
        <f t="shared" si="10"/>
        <v>16.666666666666664</v>
      </c>
      <c r="H127" s="2">
        <v>110</v>
      </c>
      <c r="I127" s="38">
        <f t="shared" si="11"/>
        <v>4.7619047619047619</v>
      </c>
      <c r="J127" s="39">
        <f t="shared" si="12"/>
        <v>40</v>
      </c>
      <c r="K127" s="40">
        <f t="shared" si="13"/>
        <v>57.142857142857139</v>
      </c>
    </row>
    <row r="128" spans="1:11" ht="15.75">
      <c r="A128" s="17"/>
      <c r="B128" s="3" t="s">
        <v>13</v>
      </c>
      <c r="C128" s="2">
        <v>65</v>
      </c>
      <c r="D128" s="2">
        <v>90</v>
      </c>
      <c r="E128" s="20">
        <f>(D128-C128)/C128*100</f>
        <v>38.461538461538467</v>
      </c>
      <c r="F128" s="2"/>
      <c r="G128" s="20">
        <f t="shared" si="10"/>
        <v>-100</v>
      </c>
      <c r="H128" s="2"/>
      <c r="I128" s="38" t="e">
        <f t="shared" si="11"/>
        <v>#DIV/0!</v>
      </c>
      <c r="J128" s="39">
        <f t="shared" si="12"/>
        <v>-65</v>
      </c>
      <c r="K128" s="40">
        <f t="shared" si="13"/>
        <v>-100</v>
      </c>
    </row>
    <row r="129" spans="1:11" ht="15.75">
      <c r="A129" s="11" t="s">
        <v>56</v>
      </c>
      <c r="B129" s="3" t="s">
        <v>10</v>
      </c>
      <c r="C129" s="2">
        <v>50</v>
      </c>
      <c r="D129" s="2">
        <v>52.5</v>
      </c>
      <c r="E129" s="20">
        <f>(D129-C129)/C129*100</f>
        <v>5</v>
      </c>
      <c r="F129" s="2">
        <v>55</v>
      </c>
      <c r="G129" s="20">
        <f t="shared" si="10"/>
        <v>4.7619047619047619</v>
      </c>
      <c r="H129" s="2">
        <v>55</v>
      </c>
      <c r="I129" s="38">
        <f t="shared" si="11"/>
        <v>0</v>
      </c>
      <c r="J129" s="39">
        <f t="shared" si="12"/>
        <v>5</v>
      </c>
      <c r="K129" s="40">
        <f t="shared" si="13"/>
        <v>10</v>
      </c>
    </row>
    <row r="130" spans="1:11" ht="15.75">
      <c r="A130" s="16"/>
      <c r="B130" s="3" t="s">
        <v>12</v>
      </c>
      <c r="C130" s="2">
        <v>70</v>
      </c>
      <c r="D130" s="2">
        <v>85</v>
      </c>
      <c r="E130" s="20">
        <f>(D130-C130)/C130*100</f>
        <v>21.428571428571427</v>
      </c>
      <c r="F130" s="2">
        <v>100</v>
      </c>
      <c r="G130" s="20">
        <f t="shared" si="10"/>
        <v>17.647058823529413</v>
      </c>
      <c r="H130" s="2">
        <v>105</v>
      </c>
      <c r="I130" s="38">
        <f t="shared" si="11"/>
        <v>5</v>
      </c>
      <c r="J130" s="39">
        <f t="shared" si="12"/>
        <v>35</v>
      </c>
      <c r="K130" s="40">
        <f t="shared" si="13"/>
        <v>50</v>
      </c>
    </row>
    <row r="131" spans="1:11" ht="15.75">
      <c r="A131" s="17"/>
      <c r="B131" s="3" t="s">
        <v>13</v>
      </c>
      <c r="C131" s="2">
        <v>50</v>
      </c>
      <c r="D131" s="2">
        <v>85</v>
      </c>
      <c r="E131" s="20">
        <f>(D131-C131)/C131*100</f>
        <v>70</v>
      </c>
      <c r="F131" s="2">
        <v>100</v>
      </c>
      <c r="G131" s="20">
        <f t="shared" si="10"/>
        <v>17.647058823529413</v>
      </c>
      <c r="H131" s="2">
        <v>105</v>
      </c>
      <c r="I131" s="38">
        <f t="shared" si="11"/>
        <v>5</v>
      </c>
      <c r="J131" s="39">
        <f t="shared" si="12"/>
        <v>55</v>
      </c>
      <c r="K131" s="40">
        <f t="shared" si="13"/>
        <v>110.00000000000001</v>
      </c>
    </row>
    <row r="132" spans="1:11" ht="15.75">
      <c r="A132" s="11" t="s">
        <v>57</v>
      </c>
      <c r="B132" s="3" t="s">
        <v>10</v>
      </c>
      <c r="C132" s="2">
        <v>55</v>
      </c>
      <c r="D132" s="2">
        <v>60</v>
      </c>
      <c r="E132" s="20">
        <f>(D132-C132)/C132*100</f>
        <v>9.0909090909090917</v>
      </c>
      <c r="F132" s="2">
        <v>60</v>
      </c>
      <c r="G132" s="20">
        <f t="shared" si="10"/>
        <v>0</v>
      </c>
      <c r="H132" s="2">
        <v>60</v>
      </c>
      <c r="I132" s="38">
        <f t="shared" si="11"/>
        <v>0</v>
      </c>
      <c r="J132" s="39">
        <f t="shared" si="12"/>
        <v>5</v>
      </c>
      <c r="K132" s="40">
        <f t="shared" si="13"/>
        <v>9.0909090909090917</v>
      </c>
    </row>
    <row r="133" spans="1:11" ht="15.75">
      <c r="A133" s="16"/>
      <c r="B133" s="3" t="s">
        <v>12</v>
      </c>
      <c r="C133" s="2">
        <v>80</v>
      </c>
      <c r="D133" s="2">
        <v>95</v>
      </c>
      <c r="E133" s="20">
        <f>(D133-C133)/C133*100</f>
        <v>18.75</v>
      </c>
      <c r="F133" s="2">
        <v>100</v>
      </c>
      <c r="G133" s="20">
        <f t="shared" si="10"/>
        <v>5.2631578947368416</v>
      </c>
      <c r="H133" s="2">
        <v>100</v>
      </c>
      <c r="I133" s="38">
        <f t="shared" si="11"/>
        <v>0</v>
      </c>
      <c r="J133" s="39">
        <f t="shared" si="12"/>
        <v>20</v>
      </c>
      <c r="K133" s="40">
        <f t="shared" si="13"/>
        <v>25</v>
      </c>
    </row>
    <row r="134" spans="1:11" ht="15.75">
      <c r="A134" s="17"/>
      <c r="B134" s="3" t="s">
        <v>13</v>
      </c>
      <c r="C134" s="2">
        <v>75</v>
      </c>
      <c r="D134" s="2">
        <v>90</v>
      </c>
      <c r="E134" s="20">
        <f>(D134-C134)/C134*100</f>
        <v>20</v>
      </c>
      <c r="F134" s="2">
        <v>105</v>
      </c>
      <c r="G134" s="20">
        <f t="shared" si="10"/>
        <v>16.666666666666664</v>
      </c>
      <c r="H134" s="2">
        <v>120</v>
      </c>
      <c r="I134" s="38">
        <f t="shared" si="11"/>
        <v>14.285714285714285</v>
      </c>
      <c r="J134" s="39">
        <f t="shared" si="12"/>
        <v>45</v>
      </c>
      <c r="K134" s="40">
        <f t="shared" si="13"/>
        <v>60</v>
      </c>
    </row>
    <row r="135" spans="1:11" ht="15.75">
      <c r="A135" s="11" t="s">
        <v>58</v>
      </c>
      <c r="B135" s="3" t="s">
        <v>10</v>
      </c>
      <c r="C135" s="2">
        <v>55</v>
      </c>
      <c r="D135" s="2">
        <v>60</v>
      </c>
      <c r="E135" s="20">
        <f>(D135-C135)/C135*100</f>
        <v>9.0909090909090917</v>
      </c>
      <c r="F135" s="2">
        <v>60</v>
      </c>
      <c r="G135" s="20">
        <f t="shared" si="10"/>
        <v>0</v>
      </c>
      <c r="H135" s="2">
        <v>70</v>
      </c>
      <c r="I135" s="38">
        <f t="shared" si="11"/>
        <v>16.666666666666664</v>
      </c>
      <c r="J135" s="39">
        <f t="shared" si="12"/>
        <v>15</v>
      </c>
      <c r="K135" s="40">
        <f t="shared" si="13"/>
        <v>27.27272727272727</v>
      </c>
    </row>
    <row r="136" spans="1:11" ht="15.75">
      <c r="A136" s="16"/>
      <c r="B136" s="3" t="s">
        <v>12</v>
      </c>
      <c r="C136" s="2">
        <v>110</v>
      </c>
      <c r="D136" s="2">
        <v>110</v>
      </c>
      <c r="E136" s="20">
        <f>(D136-C136)/C136*100</f>
        <v>0</v>
      </c>
      <c r="F136" s="2">
        <v>110</v>
      </c>
      <c r="G136" s="20">
        <f t="shared" si="10"/>
        <v>0</v>
      </c>
      <c r="H136" s="2">
        <v>110</v>
      </c>
      <c r="I136" s="38">
        <f t="shared" si="11"/>
        <v>0</v>
      </c>
      <c r="J136" s="39">
        <f t="shared" si="12"/>
        <v>0</v>
      </c>
      <c r="K136" s="40">
        <f t="shared" si="13"/>
        <v>0</v>
      </c>
    </row>
    <row r="137" spans="1:11" ht="15.75">
      <c r="A137" s="16"/>
      <c r="B137" s="4" t="s">
        <v>13</v>
      </c>
      <c r="C137" s="27">
        <v>100</v>
      </c>
      <c r="D137" s="27">
        <v>110</v>
      </c>
      <c r="E137" s="37">
        <f>(D137-C137)/C137*100</f>
        <v>10</v>
      </c>
      <c r="F137" s="2">
        <v>110</v>
      </c>
      <c r="G137" s="20">
        <f t="shared" si="10"/>
        <v>0</v>
      </c>
      <c r="H137" s="2">
        <v>115</v>
      </c>
      <c r="I137" s="38">
        <f t="shared" si="11"/>
        <v>4.5454545454545459</v>
      </c>
      <c r="J137" s="39">
        <f t="shared" si="12"/>
        <v>15</v>
      </c>
      <c r="K137" s="40">
        <f t="shared" si="13"/>
        <v>15</v>
      </c>
    </row>
    <row r="138" spans="1:11" ht="15.75">
      <c r="A138" s="28" t="s">
        <v>59</v>
      </c>
      <c r="B138" s="31" t="s">
        <v>10</v>
      </c>
      <c r="C138" s="25">
        <v>55</v>
      </c>
      <c r="D138" s="25">
        <v>55</v>
      </c>
      <c r="E138" s="37">
        <f t="shared" ref="E138:E146" si="14">(D138-C138)/C138*100</f>
        <v>0</v>
      </c>
      <c r="F138" s="26">
        <v>55</v>
      </c>
      <c r="G138" s="20">
        <f t="shared" si="10"/>
        <v>0</v>
      </c>
      <c r="H138" s="2">
        <v>55</v>
      </c>
      <c r="I138" s="38">
        <f t="shared" si="11"/>
        <v>0</v>
      </c>
      <c r="J138" s="39">
        <f t="shared" si="12"/>
        <v>0</v>
      </c>
      <c r="K138" s="40">
        <f t="shared" si="13"/>
        <v>0</v>
      </c>
    </row>
    <row r="139" spans="1:11" ht="15.75">
      <c r="A139" s="29"/>
      <c r="B139" s="31" t="s">
        <v>13</v>
      </c>
      <c r="C139" s="25">
        <v>80</v>
      </c>
      <c r="D139" s="25">
        <v>80</v>
      </c>
      <c r="E139" s="37">
        <f t="shared" si="14"/>
        <v>0</v>
      </c>
      <c r="F139" s="26">
        <v>95</v>
      </c>
      <c r="G139" s="20">
        <f t="shared" si="10"/>
        <v>18.75</v>
      </c>
      <c r="H139" s="2">
        <v>105</v>
      </c>
      <c r="I139" s="38">
        <f t="shared" si="11"/>
        <v>10.526315789473683</v>
      </c>
      <c r="J139" s="39">
        <f t="shared" si="12"/>
        <v>25</v>
      </c>
      <c r="K139" s="40">
        <f t="shared" si="13"/>
        <v>31.25</v>
      </c>
    </row>
    <row r="140" spans="1:11" ht="15.75">
      <c r="A140" s="29"/>
      <c r="B140" s="31" t="s">
        <v>12</v>
      </c>
      <c r="C140" s="25">
        <v>75</v>
      </c>
      <c r="D140" s="25">
        <v>75</v>
      </c>
      <c r="E140" s="37">
        <f t="shared" si="14"/>
        <v>0</v>
      </c>
      <c r="F140" s="34">
        <v>100</v>
      </c>
      <c r="G140" s="20">
        <f t="shared" si="10"/>
        <v>33.333333333333329</v>
      </c>
      <c r="H140" s="2">
        <v>95</v>
      </c>
      <c r="I140" s="38">
        <f t="shared" si="11"/>
        <v>-5</v>
      </c>
      <c r="J140" s="39">
        <f t="shared" si="12"/>
        <v>20</v>
      </c>
      <c r="K140" s="40">
        <f t="shared" si="13"/>
        <v>26.666666666666668</v>
      </c>
    </row>
    <row r="141" spans="1:11" ht="15.75">
      <c r="A141" s="28" t="s">
        <v>60</v>
      </c>
      <c r="B141" s="31" t="s">
        <v>10</v>
      </c>
      <c r="C141" s="26">
        <v>40</v>
      </c>
      <c r="D141" s="25">
        <v>50</v>
      </c>
      <c r="E141" s="37">
        <f t="shared" si="14"/>
        <v>25</v>
      </c>
      <c r="F141" s="24"/>
      <c r="G141" s="33"/>
      <c r="H141" s="2"/>
      <c r="I141" s="38" t="e">
        <f t="shared" si="11"/>
        <v>#DIV/0!</v>
      </c>
      <c r="J141" s="39">
        <f t="shared" si="12"/>
        <v>-40</v>
      </c>
      <c r="K141" s="40">
        <f t="shared" si="13"/>
        <v>-100</v>
      </c>
    </row>
    <row r="142" spans="1:11" ht="15.75">
      <c r="A142" s="29"/>
      <c r="B142" s="31" t="s">
        <v>13</v>
      </c>
      <c r="C142" s="26">
        <v>80</v>
      </c>
      <c r="D142" s="25"/>
      <c r="E142" s="37">
        <f t="shared" si="14"/>
        <v>-100</v>
      </c>
      <c r="F142" s="24"/>
      <c r="G142" s="33"/>
      <c r="H142" s="2"/>
      <c r="I142" s="38" t="e">
        <f t="shared" si="11"/>
        <v>#DIV/0!</v>
      </c>
      <c r="J142" s="39">
        <f t="shared" si="12"/>
        <v>-80</v>
      </c>
      <c r="K142" s="40">
        <f t="shared" si="13"/>
        <v>-100</v>
      </c>
    </row>
    <row r="143" spans="1:11" ht="15.75">
      <c r="A143" s="30"/>
      <c r="B143" s="31" t="s">
        <v>12</v>
      </c>
      <c r="C143" s="26">
        <v>70</v>
      </c>
      <c r="D143" s="36">
        <v>90</v>
      </c>
      <c r="E143" s="37">
        <f t="shared" si="14"/>
        <v>28.571428571428569</v>
      </c>
      <c r="F143" s="24"/>
      <c r="G143" s="33"/>
      <c r="H143" s="2"/>
      <c r="I143" s="38" t="e">
        <f t="shared" si="11"/>
        <v>#DIV/0!</v>
      </c>
      <c r="J143" s="39">
        <f t="shared" si="12"/>
        <v>-70</v>
      </c>
      <c r="K143" s="40">
        <f t="shared" si="13"/>
        <v>-100</v>
      </c>
    </row>
    <row r="144" spans="1:11" ht="15.75">
      <c r="A144" t="s">
        <v>61</v>
      </c>
      <c r="B144" s="32" t="s">
        <v>10</v>
      </c>
      <c r="C144" s="25">
        <v>50</v>
      </c>
      <c r="D144" s="25">
        <v>60</v>
      </c>
      <c r="E144" s="37">
        <f t="shared" si="14"/>
        <v>20</v>
      </c>
      <c r="F144" s="35"/>
      <c r="G144" s="19"/>
      <c r="H144" s="2"/>
      <c r="I144" s="38" t="e">
        <f t="shared" si="11"/>
        <v>#DIV/0!</v>
      </c>
      <c r="J144" s="39">
        <f t="shared" si="12"/>
        <v>-50</v>
      </c>
      <c r="K144" s="40">
        <f t="shared" si="13"/>
        <v>-100</v>
      </c>
    </row>
    <row r="145" spans="2:11" ht="15.75">
      <c r="B145" s="32" t="s">
        <v>13</v>
      </c>
      <c r="C145" s="25">
        <v>100</v>
      </c>
      <c r="D145" s="25">
        <v>120</v>
      </c>
      <c r="E145" s="37">
        <f t="shared" si="14"/>
        <v>20</v>
      </c>
      <c r="F145" s="33"/>
      <c r="G145" s="19"/>
      <c r="H145" s="2"/>
      <c r="I145" s="38" t="e">
        <f t="shared" si="11"/>
        <v>#DIV/0!</v>
      </c>
      <c r="J145" s="39">
        <f t="shared" si="12"/>
        <v>-100</v>
      </c>
      <c r="K145" s="40">
        <f t="shared" si="13"/>
        <v>-100</v>
      </c>
    </row>
    <row r="146" spans="2:11" ht="15.75">
      <c r="B146" s="32" t="s">
        <v>12</v>
      </c>
      <c r="C146" s="25">
        <v>100</v>
      </c>
      <c r="D146" s="25">
        <v>110</v>
      </c>
      <c r="E146" s="37">
        <f t="shared" si="14"/>
        <v>10</v>
      </c>
      <c r="F146" s="33"/>
      <c r="G146" s="19"/>
      <c r="H146" s="2"/>
      <c r="I146" s="38" t="e">
        <f t="shared" si="11"/>
        <v>#DIV/0!</v>
      </c>
      <c r="J146" s="39">
        <f t="shared" si="12"/>
        <v>-100</v>
      </c>
      <c r="K146" s="40">
        <f t="shared" si="13"/>
        <v>-100</v>
      </c>
    </row>
    <row r="147" spans="2:11" ht="15.6">
      <c r="F147" s="19"/>
      <c r="G147" s="19"/>
      <c r="H147" s="2"/>
      <c r="I147" s="19"/>
      <c r="J147" s="19"/>
    </row>
    <row r="148" spans="2:11" ht="15.6">
      <c r="F148" s="19"/>
      <c r="G148" s="19"/>
      <c r="H148" s="19"/>
      <c r="I148" s="19"/>
      <c r="J148" s="19"/>
    </row>
    <row r="149" spans="2:11" ht="15.6">
      <c r="F149" s="19"/>
      <c r="G149" s="19"/>
      <c r="H149" s="19"/>
      <c r="I149" s="19"/>
      <c r="J149" s="19"/>
    </row>
    <row r="150" spans="2:11" ht="15.6">
      <c r="F150" s="19"/>
      <c r="G150" s="19"/>
      <c r="H150" s="19"/>
      <c r="I150" s="19"/>
      <c r="J150" s="19"/>
    </row>
    <row r="151" spans="2:11" ht="15.6">
      <c r="F151" s="19"/>
      <c r="G151" s="19"/>
      <c r="H151" s="19"/>
      <c r="I151" s="19"/>
      <c r="J151" s="19"/>
    </row>
    <row r="152" spans="2:11" ht="15"/>
    <row r="153" spans="2:11" ht="15"/>
    <row r="154" spans="2:11" ht="15"/>
    <row r="155" spans="2:11" ht="15"/>
    <row r="156" spans="2:11" ht="15"/>
    <row r="157" spans="2:11" ht="1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4717-07DB-430F-A291-BBB734396430}">
  <dimension ref="A1:K271"/>
  <sheetViews>
    <sheetView tabSelected="1" topLeftCell="A39" workbookViewId="0">
      <selection activeCell="D50" sqref="D50"/>
    </sheetView>
  </sheetViews>
  <sheetFormatPr defaultRowHeight="15"/>
  <cols>
    <col min="1" max="1" width="17.85546875" bestFit="1" customWidth="1"/>
  </cols>
  <sheetData>
    <row r="1" spans="1:11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4</v>
      </c>
      <c r="J1" s="2" t="s">
        <v>7</v>
      </c>
      <c r="K1" t="s">
        <v>8</v>
      </c>
    </row>
    <row r="2" spans="1:11">
      <c r="A2" t="s">
        <v>62</v>
      </c>
      <c r="B2" t="s">
        <v>10</v>
      </c>
      <c r="C2">
        <v>45</v>
      </c>
      <c r="D2">
        <v>50</v>
      </c>
      <c r="E2" s="42">
        <f>(D2-C2)/C2</f>
        <v>0.1111111111111111</v>
      </c>
    </row>
    <row r="3" spans="1:11">
      <c r="B3" t="s">
        <v>12</v>
      </c>
      <c r="C3">
        <v>80</v>
      </c>
      <c r="D3">
        <v>95</v>
      </c>
      <c r="E3" s="42">
        <f t="shared" ref="E3:E63" si="0">(D3-C3)/C3</f>
        <v>0.1875</v>
      </c>
    </row>
    <row r="4" spans="1:11">
      <c r="B4" t="s">
        <v>13</v>
      </c>
      <c r="C4">
        <v>85</v>
      </c>
      <c r="D4">
        <v>100</v>
      </c>
      <c r="E4" s="42">
        <f t="shared" si="0"/>
        <v>0.17647058823529413</v>
      </c>
    </row>
    <row r="5" spans="1:11">
      <c r="A5" t="s">
        <v>63</v>
      </c>
      <c r="B5" t="s">
        <v>10</v>
      </c>
      <c r="C5">
        <v>55</v>
      </c>
      <c r="D5">
        <v>62.5</v>
      </c>
      <c r="E5" s="42">
        <f t="shared" si="0"/>
        <v>0.13636363636363635</v>
      </c>
    </row>
    <row r="6" spans="1:11">
      <c r="B6" t="s">
        <v>12</v>
      </c>
      <c r="C6">
        <v>120</v>
      </c>
      <c r="E6" s="42">
        <f t="shared" si="0"/>
        <v>-1</v>
      </c>
    </row>
    <row r="7" spans="1:11">
      <c r="B7" t="s">
        <v>13</v>
      </c>
      <c r="C7">
        <v>100</v>
      </c>
      <c r="E7" s="42">
        <f t="shared" si="0"/>
        <v>-1</v>
      </c>
    </row>
    <row r="8" spans="1:11">
      <c r="A8" t="s">
        <v>64</v>
      </c>
      <c r="B8" t="s">
        <v>10</v>
      </c>
      <c r="C8">
        <v>57.5</v>
      </c>
      <c r="D8" s="41">
        <v>60</v>
      </c>
      <c r="E8" s="42">
        <f t="shared" si="0"/>
        <v>4.3478260869565216E-2</v>
      </c>
    </row>
    <row r="9" spans="1:11">
      <c r="B9" t="s">
        <v>12</v>
      </c>
      <c r="C9">
        <v>120</v>
      </c>
      <c r="D9">
        <v>130</v>
      </c>
      <c r="E9" s="42">
        <f t="shared" si="0"/>
        <v>8.3333333333333329E-2</v>
      </c>
    </row>
    <row r="10" spans="1:11">
      <c r="B10" t="s">
        <v>13</v>
      </c>
      <c r="C10">
        <v>80</v>
      </c>
      <c r="D10">
        <v>120</v>
      </c>
      <c r="E10" s="42">
        <f t="shared" si="0"/>
        <v>0.5</v>
      </c>
    </row>
    <row r="11" spans="1:11">
      <c r="A11" t="s">
        <v>65</v>
      </c>
      <c r="B11" t="s">
        <v>10</v>
      </c>
      <c r="C11">
        <v>55</v>
      </c>
      <c r="E11" s="42">
        <f t="shared" si="0"/>
        <v>-1</v>
      </c>
      <c r="H11" s="41"/>
    </row>
    <row r="12" spans="1:11">
      <c r="B12" t="s">
        <v>12</v>
      </c>
      <c r="C12">
        <v>80</v>
      </c>
      <c r="E12" s="42">
        <f t="shared" si="0"/>
        <v>-1</v>
      </c>
    </row>
    <row r="13" spans="1:11">
      <c r="B13" t="s">
        <v>13</v>
      </c>
      <c r="C13">
        <v>60</v>
      </c>
      <c r="D13">
        <v>75</v>
      </c>
      <c r="E13" s="42">
        <f t="shared" si="0"/>
        <v>0.25</v>
      </c>
    </row>
    <row r="14" spans="1:11">
      <c r="A14" t="s">
        <v>66</v>
      </c>
      <c r="B14" t="s">
        <v>10</v>
      </c>
      <c r="C14">
        <v>50</v>
      </c>
      <c r="D14">
        <v>50</v>
      </c>
      <c r="E14" s="42">
        <f t="shared" si="0"/>
        <v>0</v>
      </c>
    </row>
    <row r="15" spans="1:11">
      <c r="B15" t="s">
        <v>12</v>
      </c>
      <c r="C15">
        <v>90</v>
      </c>
      <c r="D15">
        <v>105</v>
      </c>
      <c r="E15" s="42">
        <f t="shared" si="0"/>
        <v>0.16666666666666666</v>
      </c>
    </row>
    <row r="16" spans="1:11">
      <c r="B16" t="s">
        <v>13</v>
      </c>
      <c r="C16">
        <v>70</v>
      </c>
      <c r="D16">
        <v>105</v>
      </c>
      <c r="E16" s="42">
        <f t="shared" si="0"/>
        <v>0.5</v>
      </c>
    </row>
    <row r="17" spans="1:5">
      <c r="A17" t="s">
        <v>15</v>
      </c>
      <c r="B17" t="s">
        <v>10</v>
      </c>
      <c r="C17">
        <v>30</v>
      </c>
      <c r="E17" s="42">
        <f t="shared" si="0"/>
        <v>-1</v>
      </c>
    </row>
    <row r="18" spans="1:5">
      <c r="B18" t="s">
        <v>12</v>
      </c>
      <c r="C18">
        <v>90</v>
      </c>
      <c r="E18" s="42">
        <f t="shared" si="0"/>
        <v>-1</v>
      </c>
    </row>
    <row r="19" spans="1:5">
      <c r="B19" t="s">
        <v>13</v>
      </c>
      <c r="C19">
        <v>80</v>
      </c>
      <c r="E19" s="42">
        <f t="shared" si="0"/>
        <v>-1</v>
      </c>
    </row>
    <row r="20" spans="1:5">
      <c r="A20" t="s">
        <v>17</v>
      </c>
      <c r="B20" t="s">
        <v>10</v>
      </c>
      <c r="C20">
        <v>55</v>
      </c>
      <c r="D20">
        <v>65</v>
      </c>
      <c r="E20" s="42">
        <f t="shared" si="0"/>
        <v>0.18181818181818182</v>
      </c>
    </row>
    <row r="21" spans="1:5">
      <c r="B21" t="s">
        <v>12</v>
      </c>
      <c r="C21">
        <v>80</v>
      </c>
      <c r="D21">
        <v>105</v>
      </c>
      <c r="E21" s="42">
        <f t="shared" si="0"/>
        <v>0.3125</v>
      </c>
    </row>
    <row r="22" spans="1:5">
      <c r="B22" t="s">
        <v>13</v>
      </c>
      <c r="C22">
        <v>80</v>
      </c>
      <c r="D22">
        <v>105</v>
      </c>
      <c r="E22" s="42">
        <f t="shared" si="0"/>
        <v>0.3125</v>
      </c>
    </row>
    <row r="23" spans="1:5">
      <c r="A23" t="s">
        <v>67</v>
      </c>
      <c r="B23" t="s">
        <v>10</v>
      </c>
      <c r="C23">
        <v>75</v>
      </c>
      <c r="D23">
        <v>85</v>
      </c>
      <c r="E23" s="42">
        <f t="shared" si="0"/>
        <v>0.13333333333333333</v>
      </c>
    </row>
    <row r="24" spans="1:5">
      <c r="B24" t="s">
        <v>12</v>
      </c>
      <c r="C24">
        <v>110</v>
      </c>
      <c r="D24">
        <v>130</v>
      </c>
      <c r="E24" s="42">
        <f t="shared" si="0"/>
        <v>0.18181818181818182</v>
      </c>
    </row>
    <row r="25" spans="1:5">
      <c r="B25" t="s">
        <v>13</v>
      </c>
      <c r="C25">
        <v>100</v>
      </c>
      <c r="D25">
        <v>132.5</v>
      </c>
      <c r="E25" s="42">
        <f t="shared" si="0"/>
        <v>0.32500000000000001</v>
      </c>
    </row>
    <row r="26" spans="1:5">
      <c r="A26" t="s">
        <v>68</v>
      </c>
      <c r="B26" t="s">
        <v>10</v>
      </c>
      <c r="C26">
        <v>50</v>
      </c>
      <c r="D26">
        <v>52.5</v>
      </c>
      <c r="E26" s="42">
        <f t="shared" si="0"/>
        <v>0.05</v>
      </c>
    </row>
    <row r="27" spans="1:5">
      <c r="B27" t="s">
        <v>12</v>
      </c>
      <c r="C27">
        <v>105</v>
      </c>
      <c r="D27">
        <v>120</v>
      </c>
      <c r="E27" s="42">
        <f t="shared" si="0"/>
        <v>0.14285714285714285</v>
      </c>
    </row>
    <row r="28" spans="1:5">
      <c r="B28" t="s">
        <v>13</v>
      </c>
      <c r="C28">
        <v>80</v>
      </c>
      <c r="D28">
        <v>100</v>
      </c>
      <c r="E28" s="42">
        <f t="shared" si="0"/>
        <v>0.25</v>
      </c>
    </row>
    <row r="29" spans="1:5">
      <c r="A29" t="s">
        <v>69</v>
      </c>
      <c r="B29" t="s">
        <v>10</v>
      </c>
      <c r="C29">
        <v>45</v>
      </c>
      <c r="E29" s="42">
        <f t="shared" si="0"/>
        <v>-1</v>
      </c>
    </row>
    <row r="30" spans="1:5">
      <c r="B30" t="s">
        <v>12</v>
      </c>
      <c r="C30">
        <v>90</v>
      </c>
      <c r="E30" s="42">
        <f t="shared" si="0"/>
        <v>-1</v>
      </c>
    </row>
    <row r="31" spans="1:5">
      <c r="B31" t="s">
        <v>13</v>
      </c>
      <c r="C31">
        <v>70</v>
      </c>
      <c r="E31" s="42">
        <f t="shared" si="0"/>
        <v>-1</v>
      </c>
    </row>
    <row r="32" spans="1:5">
      <c r="A32" t="s">
        <v>70</v>
      </c>
      <c r="B32" t="s">
        <v>10</v>
      </c>
      <c r="C32">
        <v>40</v>
      </c>
      <c r="E32" s="42">
        <f t="shared" si="0"/>
        <v>-1</v>
      </c>
    </row>
    <row r="33" spans="1:5">
      <c r="B33" t="s">
        <v>12</v>
      </c>
      <c r="C33">
        <v>80</v>
      </c>
      <c r="E33" s="42">
        <f t="shared" si="0"/>
        <v>-1</v>
      </c>
    </row>
    <row r="34" spans="1:5">
      <c r="B34" t="s">
        <v>13</v>
      </c>
      <c r="E34" s="42" t="e">
        <f t="shared" si="0"/>
        <v>#DIV/0!</v>
      </c>
    </row>
    <row r="35" spans="1:5">
      <c r="A35" t="s">
        <v>71</v>
      </c>
      <c r="B35" t="s">
        <v>10</v>
      </c>
      <c r="C35">
        <v>30</v>
      </c>
      <c r="D35">
        <v>40</v>
      </c>
      <c r="E35" s="42">
        <f t="shared" si="0"/>
        <v>0.33333333333333331</v>
      </c>
    </row>
    <row r="36" spans="1:5">
      <c r="B36" t="s">
        <v>12</v>
      </c>
      <c r="C36">
        <v>75</v>
      </c>
      <c r="D36">
        <v>90</v>
      </c>
      <c r="E36" s="42">
        <f t="shared" si="0"/>
        <v>0.2</v>
      </c>
    </row>
    <row r="37" spans="1:5">
      <c r="B37" t="s">
        <v>13</v>
      </c>
      <c r="C37">
        <v>70</v>
      </c>
      <c r="D37">
        <v>100</v>
      </c>
      <c r="E37" s="42">
        <f t="shared" si="0"/>
        <v>0.42857142857142855</v>
      </c>
    </row>
    <row r="38" spans="1:5">
      <c r="A38" t="s">
        <v>72</v>
      </c>
      <c r="B38" t="s">
        <v>10</v>
      </c>
      <c r="C38">
        <v>45</v>
      </c>
      <c r="D38">
        <v>47.5</v>
      </c>
      <c r="E38" s="42">
        <f t="shared" si="0"/>
        <v>5.5555555555555552E-2</v>
      </c>
    </row>
    <row r="39" spans="1:5">
      <c r="B39" t="s">
        <v>12</v>
      </c>
      <c r="C39">
        <v>40</v>
      </c>
      <c r="D39">
        <v>50</v>
      </c>
      <c r="E39" s="42">
        <f t="shared" si="0"/>
        <v>0.25</v>
      </c>
    </row>
    <row r="40" spans="1:5">
      <c r="B40" t="s">
        <v>13</v>
      </c>
      <c r="C40">
        <v>45</v>
      </c>
      <c r="D40">
        <v>55</v>
      </c>
      <c r="E40" s="42">
        <f t="shared" si="0"/>
        <v>0.22222222222222221</v>
      </c>
    </row>
    <row r="41" spans="1:5">
      <c r="A41" t="s">
        <v>73</v>
      </c>
      <c r="B41" t="s">
        <v>10</v>
      </c>
      <c r="E41" s="42" t="e">
        <f t="shared" si="0"/>
        <v>#DIV/0!</v>
      </c>
    </row>
    <row r="42" spans="1:5">
      <c r="B42" t="s">
        <v>12</v>
      </c>
      <c r="E42" s="42" t="e">
        <f t="shared" si="0"/>
        <v>#DIV/0!</v>
      </c>
    </row>
    <row r="43" spans="1:5">
      <c r="B43" t="s">
        <v>13</v>
      </c>
      <c r="E43" s="42" t="e">
        <f t="shared" si="0"/>
        <v>#DIV/0!</v>
      </c>
    </row>
    <row r="44" spans="1:5">
      <c r="A44" t="s">
        <v>25</v>
      </c>
      <c r="B44" t="s">
        <v>10</v>
      </c>
      <c r="C44">
        <v>25</v>
      </c>
      <c r="D44">
        <v>30</v>
      </c>
      <c r="E44" s="42">
        <f t="shared" si="0"/>
        <v>0.2</v>
      </c>
    </row>
    <row r="45" spans="1:5">
      <c r="B45" t="s">
        <v>12</v>
      </c>
      <c r="C45">
        <v>70</v>
      </c>
      <c r="D45">
        <v>80</v>
      </c>
      <c r="E45" s="42">
        <f t="shared" si="0"/>
        <v>0.14285714285714285</v>
      </c>
    </row>
    <row r="46" spans="1:5">
      <c r="B46" t="s">
        <v>13</v>
      </c>
      <c r="C46">
        <v>60</v>
      </c>
      <c r="D46">
        <v>85</v>
      </c>
      <c r="E46" s="42">
        <f t="shared" si="0"/>
        <v>0.41666666666666669</v>
      </c>
    </row>
    <row r="47" spans="1:5">
      <c r="A47" t="s">
        <v>74</v>
      </c>
      <c r="B47" t="s">
        <v>10</v>
      </c>
      <c r="C47">
        <v>50</v>
      </c>
      <c r="D47">
        <v>60</v>
      </c>
      <c r="E47" s="42">
        <f t="shared" si="0"/>
        <v>0.2</v>
      </c>
    </row>
    <row r="48" spans="1:5">
      <c r="B48" t="s">
        <v>12</v>
      </c>
      <c r="C48">
        <v>100</v>
      </c>
      <c r="D48">
        <v>115</v>
      </c>
      <c r="E48" s="42">
        <f t="shared" si="0"/>
        <v>0.15</v>
      </c>
    </row>
    <row r="49" spans="1:5">
      <c r="B49" t="s">
        <v>13</v>
      </c>
      <c r="C49">
        <v>95</v>
      </c>
      <c r="D49">
        <v>95</v>
      </c>
      <c r="E49" s="42">
        <f t="shared" si="0"/>
        <v>0</v>
      </c>
    </row>
    <row r="50" spans="1:5">
      <c r="A50" t="s">
        <v>75</v>
      </c>
      <c r="B50" t="s">
        <v>10</v>
      </c>
      <c r="C50">
        <v>37.5</v>
      </c>
      <c r="D50" s="41">
        <v>40</v>
      </c>
      <c r="E50" s="42">
        <f t="shared" si="0"/>
        <v>6.6666666666666666E-2</v>
      </c>
    </row>
    <row r="51" spans="1:5">
      <c r="B51" t="s">
        <v>12</v>
      </c>
      <c r="C51">
        <v>70</v>
      </c>
      <c r="D51" s="41">
        <v>80</v>
      </c>
      <c r="E51" s="42">
        <f t="shared" si="0"/>
        <v>0.14285714285714285</v>
      </c>
    </row>
    <row r="52" spans="1:5">
      <c r="B52" t="s">
        <v>13</v>
      </c>
      <c r="C52">
        <v>65</v>
      </c>
      <c r="D52">
        <v>95</v>
      </c>
      <c r="E52" s="42">
        <f t="shared" si="0"/>
        <v>0.46153846153846156</v>
      </c>
    </row>
    <row r="53" spans="1:5">
      <c r="A53" t="s">
        <v>76</v>
      </c>
      <c r="B53" t="s">
        <v>10</v>
      </c>
      <c r="C53">
        <v>69</v>
      </c>
      <c r="D53" s="41">
        <v>65</v>
      </c>
      <c r="E53" s="42">
        <f t="shared" si="0"/>
        <v>-5.7971014492753624E-2</v>
      </c>
    </row>
    <row r="54" spans="1:5">
      <c r="B54" t="s">
        <v>12</v>
      </c>
      <c r="C54">
        <v>90</v>
      </c>
      <c r="D54">
        <v>105</v>
      </c>
      <c r="E54" s="42">
        <f t="shared" si="0"/>
        <v>0.16666666666666666</v>
      </c>
    </row>
    <row r="55" spans="1:5">
      <c r="B55" t="s">
        <v>13</v>
      </c>
      <c r="C55">
        <v>90</v>
      </c>
      <c r="D55">
        <v>120</v>
      </c>
      <c r="E55" s="42">
        <f t="shared" si="0"/>
        <v>0.33333333333333331</v>
      </c>
    </row>
    <row r="56" spans="1:5">
      <c r="A56" t="s">
        <v>77</v>
      </c>
      <c r="B56" t="s">
        <v>10</v>
      </c>
      <c r="E56" s="42" t="e">
        <f t="shared" si="0"/>
        <v>#DIV/0!</v>
      </c>
    </row>
    <row r="57" spans="1:5">
      <c r="B57" t="s">
        <v>12</v>
      </c>
      <c r="E57" s="42" t="e">
        <f t="shared" si="0"/>
        <v>#DIV/0!</v>
      </c>
    </row>
    <row r="58" spans="1:5">
      <c r="B58" t="s">
        <v>13</v>
      </c>
      <c r="E58" s="42" t="e">
        <f t="shared" si="0"/>
        <v>#DIV/0!</v>
      </c>
    </row>
    <row r="59" spans="1:5">
      <c r="A59" t="s">
        <v>78</v>
      </c>
      <c r="B59" t="s">
        <v>10</v>
      </c>
      <c r="C59">
        <v>35</v>
      </c>
      <c r="D59">
        <v>45</v>
      </c>
      <c r="E59" s="42">
        <f t="shared" si="0"/>
        <v>0.2857142857142857</v>
      </c>
    </row>
    <row r="60" spans="1:5">
      <c r="B60" t="s">
        <v>12</v>
      </c>
      <c r="C60">
        <v>80</v>
      </c>
      <c r="D60">
        <v>90</v>
      </c>
      <c r="E60" s="42">
        <f t="shared" si="0"/>
        <v>0.125</v>
      </c>
    </row>
    <row r="61" spans="1:5">
      <c r="B61" t="s">
        <v>13</v>
      </c>
      <c r="C61">
        <v>80</v>
      </c>
      <c r="D61">
        <v>105</v>
      </c>
      <c r="E61" s="42">
        <f t="shared" si="0"/>
        <v>0.3125</v>
      </c>
    </row>
    <row r="62" spans="1:5">
      <c r="A62" t="s">
        <v>79</v>
      </c>
      <c r="B62" t="s">
        <v>10</v>
      </c>
      <c r="C62">
        <v>30</v>
      </c>
      <c r="D62">
        <v>40</v>
      </c>
      <c r="E62" s="42">
        <f t="shared" si="0"/>
        <v>0.33333333333333331</v>
      </c>
    </row>
    <row r="63" spans="1:5">
      <c r="B63" t="s">
        <v>12</v>
      </c>
      <c r="C63">
        <v>80</v>
      </c>
      <c r="D63">
        <v>85</v>
      </c>
      <c r="E63" s="42">
        <f t="shared" si="0"/>
        <v>6.25E-2</v>
      </c>
    </row>
    <row r="64" spans="1:5">
      <c r="B64" t="s">
        <v>13</v>
      </c>
      <c r="C64">
        <v>60</v>
      </c>
      <c r="D64">
        <v>90</v>
      </c>
      <c r="E64" s="42">
        <f t="shared" ref="E64:E126" si="1">(D64-C64)/C64</f>
        <v>0.5</v>
      </c>
    </row>
    <row r="65" spans="1:5">
      <c r="A65" t="s">
        <v>80</v>
      </c>
      <c r="B65" t="s">
        <v>10</v>
      </c>
      <c r="C65">
        <v>30</v>
      </c>
      <c r="D65">
        <v>32.5</v>
      </c>
      <c r="E65" s="42">
        <f t="shared" si="1"/>
        <v>8.3333333333333329E-2</v>
      </c>
    </row>
    <row r="66" spans="1:5">
      <c r="B66" t="s">
        <v>12</v>
      </c>
      <c r="C66">
        <v>90</v>
      </c>
      <c r="D66">
        <v>90</v>
      </c>
      <c r="E66" s="42">
        <f t="shared" si="1"/>
        <v>0</v>
      </c>
    </row>
    <row r="67" spans="1:5">
      <c r="B67" t="s">
        <v>13</v>
      </c>
      <c r="C67">
        <v>70</v>
      </c>
      <c r="D67">
        <v>100</v>
      </c>
      <c r="E67" s="42">
        <f t="shared" si="1"/>
        <v>0.42857142857142855</v>
      </c>
    </row>
    <row r="68" spans="1:5">
      <c r="A68" t="s">
        <v>81</v>
      </c>
      <c r="B68" t="s">
        <v>10</v>
      </c>
      <c r="C68">
        <v>25</v>
      </c>
      <c r="E68" s="42">
        <f t="shared" si="1"/>
        <v>-1</v>
      </c>
    </row>
    <row r="69" spans="1:5">
      <c r="B69" t="s">
        <v>12</v>
      </c>
      <c r="C69">
        <v>60</v>
      </c>
      <c r="E69" s="42">
        <f t="shared" si="1"/>
        <v>-1</v>
      </c>
    </row>
    <row r="70" spans="1:5">
      <c r="B70" t="s">
        <v>13</v>
      </c>
      <c r="C70">
        <v>40</v>
      </c>
      <c r="E70" s="42">
        <f t="shared" si="1"/>
        <v>-1</v>
      </c>
    </row>
    <row r="71" spans="1:5">
      <c r="A71" t="s">
        <v>82</v>
      </c>
      <c r="B71" t="s">
        <v>10</v>
      </c>
      <c r="C71">
        <v>55</v>
      </c>
      <c r="E71" s="42">
        <f t="shared" si="1"/>
        <v>-1</v>
      </c>
    </row>
    <row r="72" spans="1:5">
      <c r="B72" t="s">
        <v>12</v>
      </c>
      <c r="C72">
        <v>95</v>
      </c>
      <c r="D72">
        <v>102.5</v>
      </c>
      <c r="E72" s="42">
        <f t="shared" si="1"/>
        <v>7.8947368421052627E-2</v>
      </c>
    </row>
    <row r="73" spans="1:5">
      <c r="B73" t="s">
        <v>13</v>
      </c>
      <c r="C73">
        <v>90</v>
      </c>
      <c r="E73" s="42">
        <f t="shared" si="1"/>
        <v>-1</v>
      </c>
    </row>
    <row r="74" spans="1:5">
      <c r="A74" t="s">
        <v>83</v>
      </c>
      <c r="B74" t="s">
        <v>10</v>
      </c>
      <c r="C74">
        <v>30</v>
      </c>
      <c r="D74">
        <v>40</v>
      </c>
      <c r="E74" s="42">
        <f t="shared" si="1"/>
        <v>0.33333333333333331</v>
      </c>
    </row>
    <row r="75" spans="1:5">
      <c r="B75" t="s">
        <v>12</v>
      </c>
      <c r="C75">
        <v>60</v>
      </c>
      <c r="D75">
        <v>80</v>
      </c>
      <c r="E75" s="42">
        <f t="shared" si="1"/>
        <v>0.33333333333333331</v>
      </c>
    </row>
    <row r="76" spans="1:5">
      <c r="B76" t="s">
        <v>13</v>
      </c>
      <c r="C76">
        <v>30</v>
      </c>
      <c r="D76">
        <v>60</v>
      </c>
      <c r="E76" s="42">
        <f t="shared" si="1"/>
        <v>1</v>
      </c>
    </row>
    <row r="77" spans="1:5">
      <c r="A77" t="s">
        <v>84</v>
      </c>
      <c r="B77" t="s">
        <v>10</v>
      </c>
      <c r="C77">
        <v>50</v>
      </c>
      <c r="D77">
        <v>55</v>
      </c>
      <c r="E77" s="42">
        <f t="shared" si="1"/>
        <v>0.1</v>
      </c>
    </row>
    <row r="78" spans="1:5">
      <c r="B78" t="s">
        <v>12</v>
      </c>
      <c r="C78">
        <v>70</v>
      </c>
      <c r="D78">
        <v>80</v>
      </c>
      <c r="E78" s="42">
        <f t="shared" si="1"/>
        <v>0.14285714285714285</v>
      </c>
    </row>
    <row r="79" spans="1:5">
      <c r="B79" t="s">
        <v>13</v>
      </c>
      <c r="C79">
        <v>60</v>
      </c>
      <c r="D79">
        <v>80</v>
      </c>
      <c r="E79" s="42">
        <f t="shared" si="1"/>
        <v>0.33333333333333331</v>
      </c>
    </row>
    <row r="80" spans="1:5">
      <c r="A80" t="s">
        <v>85</v>
      </c>
      <c r="B80" t="s">
        <v>10</v>
      </c>
      <c r="C80">
        <v>60</v>
      </c>
      <c r="D80">
        <v>65</v>
      </c>
      <c r="E80" s="42">
        <f t="shared" si="1"/>
        <v>8.3333333333333329E-2</v>
      </c>
    </row>
    <row r="81" spans="1:5">
      <c r="B81" t="s">
        <v>12</v>
      </c>
      <c r="C81">
        <v>90</v>
      </c>
      <c r="D81">
        <v>105</v>
      </c>
      <c r="E81" s="42">
        <f t="shared" si="1"/>
        <v>0.16666666666666666</v>
      </c>
    </row>
    <row r="82" spans="1:5">
      <c r="B82" t="s">
        <v>13</v>
      </c>
      <c r="C82">
        <v>60</v>
      </c>
      <c r="D82">
        <v>95</v>
      </c>
      <c r="E82" s="42">
        <f t="shared" si="1"/>
        <v>0.58333333333333337</v>
      </c>
    </row>
    <row r="83" spans="1:5">
      <c r="A83" t="s">
        <v>86</v>
      </c>
      <c r="B83" t="s">
        <v>10</v>
      </c>
      <c r="C83">
        <v>45</v>
      </c>
      <c r="D83">
        <v>55</v>
      </c>
      <c r="E83" s="42">
        <f t="shared" si="1"/>
        <v>0.22222222222222221</v>
      </c>
    </row>
    <row r="84" spans="1:5">
      <c r="B84" t="s">
        <v>12</v>
      </c>
      <c r="C84">
        <v>90</v>
      </c>
      <c r="E84" s="42">
        <f t="shared" si="1"/>
        <v>-1</v>
      </c>
    </row>
    <row r="85" spans="1:5">
      <c r="B85" t="s">
        <v>13</v>
      </c>
      <c r="C85">
        <v>0</v>
      </c>
      <c r="E85" s="42" t="e">
        <f t="shared" si="1"/>
        <v>#DIV/0!</v>
      </c>
    </row>
    <row r="86" spans="1:5">
      <c r="A86" t="s">
        <v>87</v>
      </c>
      <c r="B86" t="s">
        <v>10</v>
      </c>
      <c r="C86">
        <v>50</v>
      </c>
      <c r="E86" s="42">
        <f t="shared" si="1"/>
        <v>-1</v>
      </c>
    </row>
    <row r="87" spans="1:5">
      <c r="B87" t="s">
        <v>12</v>
      </c>
      <c r="C87">
        <v>110</v>
      </c>
      <c r="E87" s="42">
        <f t="shared" si="1"/>
        <v>-1</v>
      </c>
    </row>
    <row r="88" spans="1:5">
      <c r="B88" t="s">
        <v>13</v>
      </c>
      <c r="C88">
        <v>90</v>
      </c>
      <c r="E88" s="42">
        <f t="shared" si="1"/>
        <v>-1</v>
      </c>
    </row>
    <row r="89" spans="1:5">
      <c r="A89" t="s">
        <v>88</v>
      </c>
      <c r="B89" t="s">
        <v>10</v>
      </c>
      <c r="C89">
        <v>60</v>
      </c>
      <c r="D89">
        <v>67.5</v>
      </c>
      <c r="E89" s="42">
        <f t="shared" si="1"/>
        <v>0.125</v>
      </c>
    </row>
    <row r="90" spans="1:5">
      <c r="B90" t="s">
        <v>12</v>
      </c>
      <c r="C90">
        <v>90</v>
      </c>
      <c r="E90" s="42">
        <f t="shared" si="1"/>
        <v>-1</v>
      </c>
    </row>
    <row r="91" spans="1:5">
      <c r="B91" t="s">
        <v>13</v>
      </c>
      <c r="E91" s="42" t="e">
        <f t="shared" si="1"/>
        <v>#DIV/0!</v>
      </c>
    </row>
    <row r="92" spans="1:5">
      <c r="A92" t="s">
        <v>89</v>
      </c>
      <c r="B92" t="s">
        <v>10</v>
      </c>
      <c r="C92">
        <v>82.5</v>
      </c>
      <c r="D92">
        <v>90</v>
      </c>
      <c r="E92" s="42">
        <f t="shared" si="1"/>
        <v>9.0909090909090912E-2</v>
      </c>
    </row>
    <row r="93" spans="1:5">
      <c r="B93" t="s">
        <v>12</v>
      </c>
      <c r="C93">
        <v>100</v>
      </c>
      <c r="D93">
        <v>130</v>
      </c>
      <c r="E93" s="42">
        <f t="shared" si="1"/>
        <v>0.3</v>
      </c>
    </row>
    <row r="94" spans="1:5">
      <c r="B94" t="s">
        <v>13</v>
      </c>
      <c r="C94">
        <v>125</v>
      </c>
      <c r="D94">
        <v>140</v>
      </c>
      <c r="E94" s="42">
        <f t="shared" si="1"/>
        <v>0.12</v>
      </c>
    </row>
    <row r="95" spans="1:5">
      <c r="A95" t="s">
        <v>90</v>
      </c>
      <c r="B95" t="s">
        <v>10</v>
      </c>
      <c r="C95">
        <v>35</v>
      </c>
      <c r="D95">
        <v>40</v>
      </c>
      <c r="E95" s="42">
        <f t="shared" si="1"/>
        <v>0.14285714285714285</v>
      </c>
    </row>
    <row r="96" spans="1:5">
      <c r="B96" t="s">
        <v>12</v>
      </c>
      <c r="C96">
        <v>60</v>
      </c>
      <c r="D96">
        <v>70</v>
      </c>
      <c r="E96" s="42">
        <f t="shared" si="1"/>
        <v>0.16666666666666666</v>
      </c>
    </row>
    <row r="97" spans="1:5">
      <c r="B97" t="s">
        <v>13</v>
      </c>
      <c r="C97">
        <v>50</v>
      </c>
      <c r="D97">
        <v>60</v>
      </c>
      <c r="E97" s="42">
        <f t="shared" si="1"/>
        <v>0.2</v>
      </c>
    </row>
    <row r="98" spans="1:5">
      <c r="A98" t="s">
        <v>91</v>
      </c>
      <c r="B98" t="s">
        <v>10</v>
      </c>
      <c r="C98">
        <v>60</v>
      </c>
      <c r="D98">
        <v>62.5</v>
      </c>
      <c r="E98" s="42">
        <f t="shared" si="1"/>
        <v>4.1666666666666664E-2</v>
      </c>
    </row>
    <row r="99" spans="1:5">
      <c r="B99" t="s">
        <v>12</v>
      </c>
      <c r="C99">
        <v>100</v>
      </c>
      <c r="D99">
        <v>110</v>
      </c>
      <c r="E99" s="42">
        <f t="shared" si="1"/>
        <v>0.1</v>
      </c>
    </row>
    <row r="100" spans="1:5">
      <c r="B100" t="s">
        <v>13</v>
      </c>
      <c r="C100">
        <v>70</v>
      </c>
      <c r="E100" s="42">
        <f t="shared" si="1"/>
        <v>-1</v>
      </c>
    </row>
    <row r="101" spans="1:5">
      <c r="A101" t="s">
        <v>92</v>
      </c>
      <c r="B101" t="s">
        <v>10</v>
      </c>
      <c r="C101">
        <v>40</v>
      </c>
      <c r="D101">
        <v>50</v>
      </c>
      <c r="E101" s="42">
        <f t="shared" si="1"/>
        <v>0.25</v>
      </c>
    </row>
    <row r="102" spans="1:5">
      <c r="B102" t="s">
        <v>12</v>
      </c>
      <c r="C102">
        <v>70</v>
      </c>
      <c r="D102">
        <v>100</v>
      </c>
      <c r="E102" s="42">
        <f t="shared" si="1"/>
        <v>0.42857142857142855</v>
      </c>
    </row>
    <row r="103" spans="1:5">
      <c r="B103" t="s">
        <v>13</v>
      </c>
      <c r="C103">
        <v>55</v>
      </c>
      <c r="D103">
        <v>65</v>
      </c>
      <c r="E103" s="42">
        <f t="shared" si="1"/>
        <v>0.18181818181818182</v>
      </c>
    </row>
    <row r="104" spans="1:5">
      <c r="A104" t="s">
        <v>93</v>
      </c>
      <c r="B104" t="s">
        <v>10</v>
      </c>
      <c r="C104">
        <v>45</v>
      </c>
      <c r="D104">
        <v>50</v>
      </c>
      <c r="E104" s="42">
        <f t="shared" si="1"/>
        <v>0.1111111111111111</v>
      </c>
    </row>
    <row r="105" spans="1:5">
      <c r="B105" t="s">
        <v>12</v>
      </c>
      <c r="C105">
        <v>80</v>
      </c>
      <c r="D105">
        <v>85</v>
      </c>
      <c r="E105" s="42">
        <f t="shared" si="1"/>
        <v>6.25E-2</v>
      </c>
    </row>
    <row r="106" spans="1:5">
      <c r="B106" t="s">
        <v>13</v>
      </c>
      <c r="C106">
        <v>75</v>
      </c>
      <c r="D106">
        <v>100</v>
      </c>
      <c r="E106" s="42">
        <f t="shared" si="1"/>
        <v>0.33333333333333331</v>
      </c>
    </row>
    <row r="107" spans="1:5">
      <c r="A107" t="s">
        <v>94</v>
      </c>
      <c r="B107" t="s">
        <v>10</v>
      </c>
      <c r="C107">
        <v>60</v>
      </c>
      <c r="D107">
        <v>75</v>
      </c>
      <c r="E107" s="42">
        <f t="shared" si="1"/>
        <v>0.25</v>
      </c>
    </row>
    <row r="108" spans="1:5">
      <c r="B108" t="s">
        <v>12</v>
      </c>
      <c r="C108">
        <v>100</v>
      </c>
      <c r="D108">
        <v>110</v>
      </c>
      <c r="E108" s="42">
        <f t="shared" si="1"/>
        <v>0.1</v>
      </c>
    </row>
    <row r="109" spans="1:5">
      <c r="B109" t="s">
        <v>13</v>
      </c>
      <c r="C109">
        <v>100</v>
      </c>
      <c r="D109">
        <v>120</v>
      </c>
      <c r="E109" s="42">
        <f t="shared" si="1"/>
        <v>0.2</v>
      </c>
    </row>
    <row r="110" spans="1:5">
      <c r="A110" t="s">
        <v>95</v>
      </c>
      <c r="B110" t="s">
        <v>10</v>
      </c>
      <c r="C110">
        <v>50</v>
      </c>
      <c r="E110" s="42">
        <f t="shared" si="1"/>
        <v>-1</v>
      </c>
    </row>
    <row r="111" spans="1:5">
      <c r="B111" t="s">
        <v>12</v>
      </c>
      <c r="C111">
        <v>80</v>
      </c>
      <c r="D111">
        <v>100</v>
      </c>
      <c r="E111" s="42">
        <f t="shared" si="1"/>
        <v>0.25</v>
      </c>
    </row>
    <row r="112" spans="1:5">
      <c r="B112" t="s">
        <v>13</v>
      </c>
      <c r="C112">
        <v>60</v>
      </c>
      <c r="D112">
        <v>80</v>
      </c>
      <c r="E112" s="42">
        <f t="shared" si="1"/>
        <v>0.33333333333333331</v>
      </c>
    </row>
    <row r="113" spans="1:5">
      <c r="A113" t="s">
        <v>96</v>
      </c>
      <c r="B113" t="s">
        <v>10</v>
      </c>
      <c r="C113">
        <v>62.5</v>
      </c>
      <c r="D113">
        <v>62.5</v>
      </c>
      <c r="E113" s="42">
        <f t="shared" si="1"/>
        <v>0</v>
      </c>
    </row>
    <row r="114" spans="1:5">
      <c r="B114" t="s">
        <v>12</v>
      </c>
      <c r="C114">
        <v>95</v>
      </c>
      <c r="D114">
        <v>115</v>
      </c>
      <c r="E114" s="42">
        <f t="shared" si="1"/>
        <v>0.21052631578947367</v>
      </c>
    </row>
    <row r="115" spans="1:5">
      <c r="B115" t="s">
        <v>13</v>
      </c>
      <c r="C115">
        <v>95</v>
      </c>
      <c r="D115">
        <v>120</v>
      </c>
      <c r="E115" s="42">
        <f t="shared" si="1"/>
        <v>0.26315789473684209</v>
      </c>
    </row>
    <row r="116" spans="1:5">
      <c r="A116" t="s">
        <v>41</v>
      </c>
      <c r="B116" t="s">
        <v>10</v>
      </c>
      <c r="C116">
        <v>45</v>
      </c>
      <c r="D116">
        <v>50</v>
      </c>
      <c r="E116" s="42">
        <f t="shared" si="1"/>
        <v>0.1111111111111111</v>
      </c>
    </row>
    <row r="117" spans="1:5">
      <c r="B117" t="s">
        <v>12</v>
      </c>
      <c r="C117">
        <v>100</v>
      </c>
      <c r="D117">
        <v>105</v>
      </c>
      <c r="E117" s="42">
        <f t="shared" si="1"/>
        <v>0.05</v>
      </c>
    </row>
    <row r="118" spans="1:5">
      <c r="B118" t="s">
        <v>13</v>
      </c>
      <c r="C118">
        <v>80</v>
      </c>
      <c r="D118">
        <v>85</v>
      </c>
      <c r="E118" s="42">
        <f t="shared" si="1"/>
        <v>6.25E-2</v>
      </c>
    </row>
    <row r="119" spans="1:5">
      <c r="A119" t="s">
        <v>97</v>
      </c>
      <c r="B119" t="s">
        <v>10</v>
      </c>
      <c r="C119">
        <v>65</v>
      </c>
      <c r="D119">
        <v>75</v>
      </c>
      <c r="E119" s="42">
        <f t="shared" si="1"/>
        <v>0.15384615384615385</v>
      </c>
    </row>
    <row r="120" spans="1:5">
      <c r="B120" t="s">
        <v>12</v>
      </c>
      <c r="C120">
        <v>110</v>
      </c>
      <c r="D120">
        <v>115</v>
      </c>
      <c r="E120" s="42">
        <f t="shared" si="1"/>
        <v>4.5454545454545456E-2</v>
      </c>
    </row>
    <row r="121" spans="1:5">
      <c r="B121" t="s">
        <v>13</v>
      </c>
      <c r="C121">
        <v>100</v>
      </c>
      <c r="D121">
        <v>120</v>
      </c>
      <c r="E121" s="42">
        <f t="shared" si="1"/>
        <v>0.2</v>
      </c>
    </row>
    <row r="122" spans="1:5">
      <c r="A122" t="s">
        <v>98</v>
      </c>
      <c r="B122" t="s">
        <v>10</v>
      </c>
      <c r="C122">
        <v>65</v>
      </c>
      <c r="D122">
        <v>70</v>
      </c>
      <c r="E122" s="42">
        <f t="shared" si="1"/>
        <v>7.6923076923076927E-2</v>
      </c>
    </row>
    <row r="123" spans="1:5">
      <c r="B123" t="s">
        <v>12</v>
      </c>
      <c r="C123">
        <v>120</v>
      </c>
      <c r="D123">
        <v>120</v>
      </c>
      <c r="E123" s="42">
        <f t="shared" si="1"/>
        <v>0</v>
      </c>
    </row>
    <row r="124" spans="1:5">
      <c r="B124" t="s">
        <v>13</v>
      </c>
      <c r="C124">
        <v>100</v>
      </c>
      <c r="E124" s="42">
        <f t="shared" si="1"/>
        <v>-1</v>
      </c>
    </row>
    <row r="125" spans="1:5">
      <c r="A125" t="s">
        <v>99</v>
      </c>
      <c r="B125" t="s">
        <v>10</v>
      </c>
      <c r="C125">
        <v>80</v>
      </c>
      <c r="D125">
        <v>82.5</v>
      </c>
      <c r="E125" s="42">
        <f t="shared" si="1"/>
        <v>3.125E-2</v>
      </c>
    </row>
    <row r="126" spans="1:5">
      <c r="B126" t="s">
        <v>12</v>
      </c>
      <c r="C126">
        <v>100</v>
      </c>
      <c r="D126">
        <v>110</v>
      </c>
      <c r="E126" s="42">
        <f t="shared" si="1"/>
        <v>0.1</v>
      </c>
    </row>
    <row r="127" spans="1:5">
      <c r="B127" t="s">
        <v>13</v>
      </c>
      <c r="C127">
        <v>90</v>
      </c>
      <c r="D127">
        <v>155</v>
      </c>
      <c r="E127" s="42">
        <f t="shared" ref="E127:E190" si="2">(D127-C127)/C127</f>
        <v>0.72222222222222221</v>
      </c>
    </row>
    <row r="128" spans="1:5">
      <c r="A128" t="s">
        <v>100</v>
      </c>
      <c r="B128" t="s">
        <v>10</v>
      </c>
      <c r="C128">
        <v>40</v>
      </c>
      <c r="E128" s="42">
        <f t="shared" si="2"/>
        <v>-1</v>
      </c>
    </row>
    <row r="129" spans="1:5">
      <c r="B129" t="s">
        <v>12</v>
      </c>
      <c r="C129">
        <v>0</v>
      </c>
      <c r="D129">
        <v>90</v>
      </c>
      <c r="E129" s="42" t="e">
        <f t="shared" si="2"/>
        <v>#DIV/0!</v>
      </c>
    </row>
    <row r="130" spans="1:5">
      <c r="B130" t="s">
        <v>13</v>
      </c>
      <c r="C130">
        <v>0</v>
      </c>
      <c r="E130" s="42" t="e">
        <f t="shared" si="2"/>
        <v>#DIV/0!</v>
      </c>
    </row>
    <row r="131" spans="1:5">
      <c r="A131" t="s">
        <v>101</v>
      </c>
      <c r="B131" t="s">
        <v>10</v>
      </c>
      <c r="C131">
        <v>75</v>
      </c>
      <c r="D131">
        <v>77.5</v>
      </c>
      <c r="E131" s="42">
        <f t="shared" si="2"/>
        <v>3.3333333333333333E-2</v>
      </c>
    </row>
    <row r="132" spans="1:5">
      <c r="B132" t="s">
        <v>12</v>
      </c>
      <c r="C132">
        <v>100</v>
      </c>
      <c r="D132">
        <v>115</v>
      </c>
      <c r="E132" s="42">
        <f t="shared" si="2"/>
        <v>0.15</v>
      </c>
    </row>
    <row r="133" spans="1:5">
      <c r="B133" t="s">
        <v>13</v>
      </c>
      <c r="C133">
        <v>80</v>
      </c>
      <c r="D133">
        <v>105</v>
      </c>
      <c r="E133" s="42">
        <f t="shared" si="2"/>
        <v>0.3125</v>
      </c>
    </row>
    <row r="134" spans="1:5">
      <c r="A134" t="s">
        <v>102</v>
      </c>
      <c r="B134" t="s">
        <v>10</v>
      </c>
      <c r="C134">
        <v>60</v>
      </c>
      <c r="D134">
        <v>60</v>
      </c>
      <c r="E134" s="42">
        <f t="shared" si="2"/>
        <v>0</v>
      </c>
    </row>
    <row r="135" spans="1:5">
      <c r="B135" t="s">
        <v>12</v>
      </c>
      <c r="C135">
        <v>90</v>
      </c>
      <c r="D135">
        <v>100</v>
      </c>
      <c r="E135" s="42">
        <f t="shared" si="2"/>
        <v>0.1111111111111111</v>
      </c>
    </row>
    <row r="136" spans="1:5">
      <c r="B136" t="s">
        <v>13</v>
      </c>
      <c r="C136">
        <v>90</v>
      </c>
      <c r="D136">
        <v>130</v>
      </c>
      <c r="E136" s="42">
        <f t="shared" si="2"/>
        <v>0.44444444444444442</v>
      </c>
    </row>
    <row r="137" spans="1:5">
      <c r="A137" t="s">
        <v>103</v>
      </c>
      <c r="B137" t="s">
        <v>10</v>
      </c>
      <c r="C137">
        <v>45</v>
      </c>
      <c r="D137">
        <v>55</v>
      </c>
      <c r="E137" s="42">
        <f t="shared" si="2"/>
        <v>0.22222222222222221</v>
      </c>
    </row>
    <row r="138" spans="1:5">
      <c r="B138" t="s">
        <v>12</v>
      </c>
      <c r="C138">
        <v>85</v>
      </c>
      <c r="D138">
        <v>90</v>
      </c>
      <c r="E138" s="42">
        <f t="shared" si="2"/>
        <v>5.8823529411764705E-2</v>
      </c>
    </row>
    <row r="139" spans="1:5">
      <c r="B139" t="s">
        <v>13</v>
      </c>
      <c r="C139">
        <v>80</v>
      </c>
      <c r="D139">
        <v>90</v>
      </c>
      <c r="E139" s="42">
        <f t="shared" si="2"/>
        <v>0.125</v>
      </c>
    </row>
    <row r="140" spans="1:5">
      <c r="A140" t="s">
        <v>104</v>
      </c>
      <c r="B140" t="s">
        <v>10</v>
      </c>
      <c r="C140">
        <v>45</v>
      </c>
      <c r="D140">
        <v>55</v>
      </c>
      <c r="E140" s="42">
        <f t="shared" si="2"/>
        <v>0.22222222222222221</v>
      </c>
    </row>
    <row r="141" spans="1:5">
      <c r="B141" t="s">
        <v>12</v>
      </c>
      <c r="C141">
        <v>60</v>
      </c>
      <c r="D141">
        <v>80</v>
      </c>
      <c r="E141" s="42">
        <f t="shared" si="2"/>
        <v>0.33333333333333331</v>
      </c>
    </row>
    <row r="142" spans="1:5">
      <c r="B142" t="s">
        <v>13</v>
      </c>
      <c r="C142">
        <v>70</v>
      </c>
      <c r="D142">
        <v>85</v>
      </c>
      <c r="E142" s="42">
        <f t="shared" si="2"/>
        <v>0.21428571428571427</v>
      </c>
    </row>
    <row r="143" spans="1:5">
      <c r="A143" t="s">
        <v>105</v>
      </c>
      <c r="B143" t="s">
        <v>10</v>
      </c>
      <c r="C143">
        <v>75</v>
      </c>
      <c r="E143" s="42">
        <f t="shared" si="2"/>
        <v>-1</v>
      </c>
    </row>
    <row r="144" spans="1:5">
      <c r="B144" t="s">
        <v>12</v>
      </c>
      <c r="C144">
        <v>110</v>
      </c>
      <c r="E144" s="42">
        <f t="shared" si="2"/>
        <v>-1</v>
      </c>
    </row>
    <row r="145" spans="1:5">
      <c r="B145" t="s">
        <v>13</v>
      </c>
      <c r="C145">
        <v>90</v>
      </c>
      <c r="E145" s="42">
        <f t="shared" si="2"/>
        <v>-1</v>
      </c>
    </row>
    <row r="146" spans="1:5">
      <c r="A146" t="s">
        <v>106</v>
      </c>
      <c r="B146" t="s">
        <v>10</v>
      </c>
      <c r="C146">
        <v>85</v>
      </c>
      <c r="D146">
        <v>105</v>
      </c>
      <c r="E146" s="42">
        <f t="shared" si="2"/>
        <v>0.23529411764705882</v>
      </c>
    </row>
    <row r="147" spans="1:5">
      <c r="B147" t="s">
        <v>12</v>
      </c>
      <c r="C147">
        <v>130</v>
      </c>
      <c r="D147">
        <v>150</v>
      </c>
      <c r="E147" s="42">
        <f t="shared" si="2"/>
        <v>0.15384615384615385</v>
      </c>
    </row>
    <row r="148" spans="1:5">
      <c r="B148" t="s">
        <v>13</v>
      </c>
      <c r="C148">
        <v>100</v>
      </c>
      <c r="E148" s="42">
        <f t="shared" si="2"/>
        <v>-1</v>
      </c>
    </row>
    <row r="149" spans="1:5">
      <c r="A149" t="s">
        <v>107</v>
      </c>
      <c r="B149" t="s">
        <v>10</v>
      </c>
      <c r="C149">
        <v>95</v>
      </c>
      <c r="D149">
        <v>100</v>
      </c>
      <c r="E149" s="42">
        <f t="shared" si="2"/>
        <v>5.2631578947368418E-2</v>
      </c>
    </row>
    <row r="150" spans="1:5">
      <c r="B150" t="s">
        <v>12</v>
      </c>
      <c r="C150">
        <v>150</v>
      </c>
      <c r="D150">
        <v>160</v>
      </c>
      <c r="E150" s="42">
        <f t="shared" si="2"/>
        <v>6.6666666666666666E-2</v>
      </c>
    </row>
    <row r="151" spans="1:5">
      <c r="B151" t="s">
        <v>13</v>
      </c>
      <c r="C151">
        <v>125</v>
      </c>
      <c r="D151">
        <v>150</v>
      </c>
      <c r="E151" s="42">
        <f t="shared" si="2"/>
        <v>0.2</v>
      </c>
    </row>
    <row r="152" spans="1:5">
      <c r="A152" t="s">
        <v>108</v>
      </c>
      <c r="B152" t="s">
        <v>10</v>
      </c>
      <c r="C152">
        <v>47.5</v>
      </c>
      <c r="E152" s="42">
        <f t="shared" si="2"/>
        <v>-1</v>
      </c>
    </row>
    <row r="153" spans="1:5">
      <c r="B153" t="s">
        <v>12</v>
      </c>
      <c r="C153">
        <v>100</v>
      </c>
      <c r="D153">
        <v>100</v>
      </c>
      <c r="E153" s="42">
        <f t="shared" si="2"/>
        <v>0</v>
      </c>
    </row>
    <row r="154" spans="1:5">
      <c r="B154" t="s">
        <v>13</v>
      </c>
      <c r="C154">
        <v>80</v>
      </c>
      <c r="D154">
        <v>100</v>
      </c>
      <c r="E154" s="42">
        <f t="shared" si="2"/>
        <v>0.25</v>
      </c>
    </row>
    <row r="155" spans="1:5">
      <c r="A155" t="s">
        <v>109</v>
      </c>
      <c r="B155" t="s">
        <v>10</v>
      </c>
      <c r="C155">
        <v>50</v>
      </c>
      <c r="D155">
        <v>57.5</v>
      </c>
      <c r="E155" s="42">
        <f t="shared" si="2"/>
        <v>0.15</v>
      </c>
    </row>
    <row r="156" spans="1:5">
      <c r="B156" t="s">
        <v>12</v>
      </c>
      <c r="C156">
        <v>95</v>
      </c>
      <c r="D156">
        <v>110</v>
      </c>
      <c r="E156" s="42">
        <f t="shared" si="2"/>
        <v>0.15789473684210525</v>
      </c>
    </row>
    <row r="157" spans="1:5">
      <c r="B157" t="s">
        <v>13</v>
      </c>
      <c r="C157">
        <v>75</v>
      </c>
      <c r="D157">
        <v>85</v>
      </c>
      <c r="E157" s="42">
        <f t="shared" si="2"/>
        <v>0.13333333333333333</v>
      </c>
    </row>
    <row r="158" spans="1:5">
      <c r="A158" t="s">
        <v>110</v>
      </c>
      <c r="B158" t="s">
        <v>10</v>
      </c>
      <c r="C158">
        <v>60</v>
      </c>
      <c r="E158" s="42">
        <f t="shared" si="2"/>
        <v>-1</v>
      </c>
    </row>
    <row r="159" spans="1:5">
      <c r="B159" t="s">
        <v>12</v>
      </c>
      <c r="C159">
        <v>95</v>
      </c>
      <c r="E159" s="42">
        <f t="shared" si="2"/>
        <v>-1</v>
      </c>
    </row>
    <row r="160" spans="1:5">
      <c r="B160" t="s">
        <v>13</v>
      </c>
      <c r="C160">
        <v>80</v>
      </c>
      <c r="E160" s="42">
        <f t="shared" si="2"/>
        <v>-1</v>
      </c>
    </row>
    <row r="161" spans="1:5">
      <c r="A161" t="s">
        <v>111</v>
      </c>
      <c r="B161" t="s">
        <v>10</v>
      </c>
      <c r="C161">
        <v>40</v>
      </c>
      <c r="D161">
        <v>47.5</v>
      </c>
      <c r="E161" s="42">
        <f t="shared" si="2"/>
        <v>0.1875</v>
      </c>
    </row>
    <row r="162" spans="1:5">
      <c r="B162" t="s">
        <v>12</v>
      </c>
      <c r="C162">
        <v>100</v>
      </c>
      <c r="D162">
        <v>105</v>
      </c>
      <c r="E162" s="42">
        <f t="shared" si="2"/>
        <v>0.05</v>
      </c>
    </row>
    <row r="163" spans="1:5">
      <c r="B163" t="s">
        <v>13</v>
      </c>
      <c r="C163">
        <v>90</v>
      </c>
      <c r="D163">
        <v>100</v>
      </c>
      <c r="E163" s="42">
        <f t="shared" si="2"/>
        <v>0.1111111111111111</v>
      </c>
    </row>
    <row r="164" spans="1:5">
      <c r="A164" t="s">
        <v>112</v>
      </c>
      <c r="B164" t="s">
        <v>10</v>
      </c>
      <c r="C164">
        <v>80</v>
      </c>
      <c r="D164">
        <v>80</v>
      </c>
      <c r="E164" s="42">
        <f t="shared" si="2"/>
        <v>0</v>
      </c>
    </row>
    <row r="165" spans="1:5">
      <c r="B165" t="s">
        <v>12</v>
      </c>
      <c r="C165">
        <v>115</v>
      </c>
      <c r="D165">
        <v>127.5</v>
      </c>
      <c r="E165" s="42">
        <f t="shared" si="2"/>
        <v>0.10869565217391304</v>
      </c>
    </row>
    <row r="166" spans="1:5">
      <c r="B166" t="s">
        <v>13</v>
      </c>
      <c r="C166">
        <v>105</v>
      </c>
      <c r="D166">
        <v>115</v>
      </c>
      <c r="E166" s="42">
        <f t="shared" si="2"/>
        <v>9.5238095238095233E-2</v>
      </c>
    </row>
    <row r="167" spans="1:5">
      <c r="A167" t="s">
        <v>113</v>
      </c>
      <c r="B167" t="s">
        <v>10</v>
      </c>
      <c r="C167">
        <v>55</v>
      </c>
      <c r="D167">
        <v>65</v>
      </c>
      <c r="E167" s="42">
        <f t="shared" si="2"/>
        <v>0.18181818181818182</v>
      </c>
    </row>
    <row r="168" spans="1:5">
      <c r="B168" t="s">
        <v>12</v>
      </c>
      <c r="C168">
        <v>95</v>
      </c>
      <c r="D168">
        <v>105</v>
      </c>
      <c r="E168" s="42">
        <f t="shared" si="2"/>
        <v>0.10526315789473684</v>
      </c>
    </row>
    <row r="169" spans="1:5">
      <c r="B169" t="s">
        <v>13</v>
      </c>
      <c r="C169">
        <v>95</v>
      </c>
      <c r="D169">
        <v>105</v>
      </c>
      <c r="E169" s="42">
        <f t="shared" si="2"/>
        <v>0.10526315789473684</v>
      </c>
    </row>
    <row r="170" spans="1:5">
      <c r="A170" t="s">
        <v>114</v>
      </c>
      <c r="B170" t="s">
        <v>10</v>
      </c>
      <c r="C170">
        <v>60</v>
      </c>
      <c r="D170">
        <v>72.5</v>
      </c>
      <c r="E170" s="42">
        <f t="shared" si="2"/>
        <v>0.20833333333333334</v>
      </c>
    </row>
    <row r="171" spans="1:5">
      <c r="B171" t="s">
        <v>12</v>
      </c>
      <c r="C171">
        <v>100</v>
      </c>
      <c r="D171">
        <v>120</v>
      </c>
      <c r="E171" s="42">
        <f t="shared" si="2"/>
        <v>0.2</v>
      </c>
    </row>
    <row r="172" spans="1:5">
      <c r="B172" t="s">
        <v>13</v>
      </c>
      <c r="C172">
        <v>90</v>
      </c>
      <c r="D172">
        <v>120</v>
      </c>
      <c r="E172" s="42">
        <f t="shared" si="2"/>
        <v>0.33333333333333331</v>
      </c>
    </row>
    <row r="173" spans="1:5">
      <c r="A173" t="s">
        <v>115</v>
      </c>
      <c r="B173" t="s">
        <v>10</v>
      </c>
      <c r="C173">
        <v>35</v>
      </c>
      <c r="D173">
        <v>42.5</v>
      </c>
      <c r="E173" s="42">
        <f t="shared" si="2"/>
        <v>0.21428571428571427</v>
      </c>
    </row>
    <row r="174" spans="1:5">
      <c r="B174" t="s">
        <v>12</v>
      </c>
      <c r="C174">
        <v>70</v>
      </c>
      <c r="D174">
        <v>82.5</v>
      </c>
      <c r="E174" s="42">
        <f t="shared" si="2"/>
        <v>0.17857142857142858</v>
      </c>
    </row>
    <row r="175" spans="1:5">
      <c r="B175" t="s">
        <v>13</v>
      </c>
      <c r="C175">
        <v>60</v>
      </c>
      <c r="D175">
        <v>80</v>
      </c>
      <c r="E175" s="42">
        <f t="shared" si="2"/>
        <v>0.33333333333333331</v>
      </c>
    </row>
    <row r="176" spans="1:5">
      <c r="A176" t="s">
        <v>116</v>
      </c>
      <c r="B176" t="s">
        <v>10</v>
      </c>
      <c r="C176">
        <v>55</v>
      </c>
      <c r="D176">
        <v>55</v>
      </c>
      <c r="E176" s="42">
        <f t="shared" si="2"/>
        <v>0</v>
      </c>
    </row>
    <row r="177" spans="1:5">
      <c r="B177" t="s">
        <v>12</v>
      </c>
      <c r="C177">
        <v>90</v>
      </c>
      <c r="D177">
        <v>105</v>
      </c>
      <c r="E177" s="42">
        <f t="shared" si="2"/>
        <v>0.16666666666666666</v>
      </c>
    </row>
    <row r="178" spans="1:5">
      <c r="B178" t="s">
        <v>13</v>
      </c>
      <c r="C178">
        <v>70</v>
      </c>
      <c r="D178">
        <v>80</v>
      </c>
      <c r="E178" s="42">
        <f t="shared" si="2"/>
        <v>0.14285714285714285</v>
      </c>
    </row>
    <row r="179" spans="1:5">
      <c r="A179" t="s">
        <v>117</v>
      </c>
      <c r="B179" t="s">
        <v>10</v>
      </c>
      <c r="C179">
        <v>50</v>
      </c>
      <c r="D179">
        <v>65</v>
      </c>
      <c r="E179" s="42">
        <f t="shared" si="2"/>
        <v>0.3</v>
      </c>
    </row>
    <row r="180" spans="1:5">
      <c r="B180" t="s">
        <v>12</v>
      </c>
      <c r="C180">
        <v>115</v>
      </c>
      <c r="D180">
        <v>120</v>
      </c>
      <c r="E180" s="42">
        <f t="shared" si="2"/>
        <v>4.3478260869565216E-2</v>
      </c>
    </row>
    <row r="181" spans="1:5">
      <c r="B181" t="s">
        <v>13</v>
      </c>
      <c r="C181">
        <v>70</v>
      </c>
      <c r="D181">
        <v>90</v>
      </c>
      <c r="E181" s="42">
        <f t="shared" si="2"/>
        <v>0.2857142857142857</v>
      </c>
    </row>
    <row r="182" spans="1:5">
      <c r="A182" t="s">
        <v>118</v>
      </c>
      <c r="B182" t="s">
        <v>10</v>
      </c>
      <c r="C182">
        <v>50</v>
      </c>
      <c r="D182">
        <v>60</v>
      </c>
      <c r="E182" s="42">
        <f t="shared" si="2"/>
        <v>0.2</v>
      </c>
    </row>
    <row r="183" spans="1:5">
      <c r="B183" t="s">
        <v>12</v>
      </c>
      <c r="C183">
        <v>100</v>
      </c>
      <c r="D183">
        <v>85</v>
      </c>
      <c r="E183" s="42">
        <f t="shared" si="2"/>
        <v>-0.15</v>
      </c>
    </row>
    <row r="184" spans="1:5">
      <c r="B184" t="s">
        <v>13</v>
      </c>
      <c r="C184">
        <v>70</v>
      </c>
      <c r="D184">
        <v>75</v>
      </c>
      <c r="E184" s="42">
        <f t="shared" si="2"/>
        <v>7.1428571428571425E-2</v>
      </c>
    </row>
    <row r="185" spans="1:5">
      <c r="A185" t="s">
        <v>119</v>
      </c>
      <c r="B185" t="s">
        <v>10</v>
      </c>
      <c r="C185">
        <v>35</v>
      </c>
      <c r="E185" s="42">
        <f t="shared" si="2"/>
        <v>-1</v>
      </c>
    </row>
    <row r="186" spans="1:5">
      <c r="B186" t="s">
        <v>12</v>
      </c>
      <c r="C186">
        <v>60</v>
      </c>
      <c r="E186" s="42">
        <f t="shared" si="2"/>
        <v>-1</v>
      </c>
    </row>
    <row r="187" spans="1:5">
      <c r="B187" t="s">
        <v>13</v>
      </c>
      <c r="C187">
        <v>50</v>
      </c>
      <c r="E187" s="42">
        <f t="shared" si="2"/>
        <v>-1</v>
      </c>
    </row>
    <row r="188" spans="1:5">
      <c r="A188" t="s">
        <v>120</v>
      </c>
      <c r="B188" t="s">
        <v>10</v>
      </c>
      <c r="C188">
        <v>60</v>
      </c>
      <c r="D188">
        <v>65</v>
      </c>
      <c r="E188" s="42">
        <f t="shared" si="2"/>
        <v>8.3333333333333329E-2</v>
      </c>
    </row>
    <row r="189" spans="1:5">
      <c r="B189" t="s">
        <v>12</v>
      </c>
      <c r="C189">
        <v>80</v>
      </c>
      <c r="D189">
        <v>100</v>
      </c>
      <c r="E189" s="42">
        <f t="shared" si="2"/>
        <v>0.25</v>
      </c>
    </row>
    <row r="190" spans="1:5">
      <c r="B190" t="s">
        <v>13</v>
      </c>
      <c r="C190">
        <v>70</v>
      </c>
      <c r="D190">
        <v>110</v>
      </c>
      <c r="E190" s="42">
        <f t="shared" si="2"/>
        <v>0.5714285714285714</v>
      </c>
    </row>
    <row r="191" spans="1:5">
      <c r="A191" t="s">
        <v>121</v>
      </c>
      <c r="B191" t="s">
        <v>10</v>
      </c>
      <c r="C191">
        <v>40</v>
      </c>
      <c r="D191">
        <v>45</v>
      </c>
      <c r="E191" s="42">
        <f t="shared" ref="E191:E254" si="3">(D191-C191)/C191</f>
        <v>0.125</v>
      </c>
    </row>
    <row r="192" spans="1:5">
      <c r="B192" t="s">
        <v>12</v>
      </c>
      <c r="C192">
        <v>80</v>
      </c>
      <c r="D192">
        <v>85</v>
      </c>
      <c r="E192" s="42">
        <f t="shared" si="3"/>
        <v>6.25E-2</v>
      </c>
    </row>
    <row r="193" spans="1:5">
      <c r="B193" t="s">
        <v>13</v>
      </c>
      <c r="C193">
        <v>60</v>
      </c>
      <c r="D193">
        <v>75</v>
      </c>
      <c r="E193" s="42">
        <f t="shared" si="3"/>
        <v>0.25</v>
      </c>
    </row>
    <row r="194" spans="1:5">
      <c r="A194" t="s">
        <v>122</v>
      </c>
      <c r="B194" t="s">
        <v>10</v>
      </c>
      <c r="C194">
        <v>70</v>
      </c>
      <c r="D194">
        <v>80</v>
      </c>
      <c r="E194" s="42">
        <f t="shared" si="3"/>
        <v>0.14285714285714285</v>
      </c>
    </row>
    <row r="195" spans="1:5">
      <c r="B195" t="s">
        <v>12</v>
      </c>
      <c r="C195">
        <v>100</v>
      </c>
      <c r="D195">
        <v>125</v>
      </c>
      <c r="E195" s="42">
        <f t="shared" si="3"/>
        <v>0.25</v>
      </c>
    </row>
    <row r="196" spans="1:5">
      <c r="B196" t="s">
        <v>13</v>
      </c>
      <c r="C196">
        <v>80</v>
      </c>
      <c r="D196">
        <v>100</v>
      </c>
      <c r="E196" s="42">
        <f t="shared" si="3"/>
        <v>0.25</v>
      </c>
    </row>
    <row r="197" spans="1:5">
      <c r="A197" t="s">
        <v>123</v>
      </c>
      <c r="B197" t="s">
        <v>124</v>
      </c>
      <c r="C197">
        <v>60</v>
      </c>
      <c r="D197">
        <v>60</v>
      </c>
      <c r="E197" s="42">
        <f t="shared" si="3"/>
        <v>0</v>
      </c>
    </row>
    <row r="198" spans="1:5">
      <c r="B198" t="s">
        <v>12</v>
      </c>
      <c r="C198">
        <v>120</v>
      </c>
      <c r="D198">
        <v>100</v>
      </c>
      <c r="E198" s="42">
        <f t="shared" si="3"/>
        <v>-0.16666666666666666</v>
      </c>
    </row>
    <row r="199" spans="1:5">
      <c r="B199" t="s">
        <v>13</v>
      </c>
      <c r="C199">
        <v>60</v>
      </c>
      <c r="D199">
        <v>90</v>
      </c>
      <c r="E199" s="42">
        <f t="shared" si="3"/>
        <v>0.5</v>
      </c>
    </row>
    <row r="200" spans="1:5">
      <c r="A200" t="s">
        <v>125</v>
      </c>
      <c r="B200" t="s">
        <v>10</v>
      </c>
      <c r="C200">
        <v>55</v>
      </c>
      <c r="D200">
        <v>57.5</v>
      </c>
      <c r="E200" s="42">
        <f t="shared" si="3"/>
        <v>4.5454545454545456E-2</v>
      </c>
    </row>
    <row r="201" spans="1:5">
      <c r="B201" t="s">
        <v>12</v>
      </c>
      <c r="C201">
        <v>90</v>
      </c>
      <c r="D201">
        <v>100</v>
      </c>
      <c r="E201" s="42">
        <f t="shared" si="3"/>
        <v>0.1111111111111111</v>
      </c>
    </row>
    <row r="202" spans="1:5">
      <c r="B202" t="s">
        <v>13</v>
      </c>
      <c r="C202">
        <v>65</v>
      </c>
      <c r="D202">
        <v>80</v>
      </c>
      <c r="E202" s="42">
        <f t="shared" si="3"/>
        <v>0.23076923076923078</v>
      </c>
    </row>
    <row r="203" spans="1:5">
      <c r="A203" t="s">
        <v>126</v>
      </c>
      <c r="B203" t="s">
        <v>10</v>
      </c>
      <c r="C203">
        <v>45</v>
      </c>
      <c r="D203">
        <v>45</v>
      </c>
      <c r="E203" s="42">
        <f t="shared" si="3"/>
        <v>0</v>
      </c>
    </row>
    <row r="204" spans="1:5">
      <c r="B204" t="s">
        <v>12</v>
      </c>
      <c r="C204">
        <v>80</v>
      </c>
      <c r="D204">
        <v>100</v>
      </c>
      <c r="E204" s="42">
        <f t="shared" si="3"/>
        <v>0.25</v>
      </c>
    </row>
    <row r="205" spans="1:5">
      <c r="B205" t="s">
        <v>13</v>
      </c>
      <c r="C205">
        <v>65</v>
      </c>
      <c r="D205">
        <v>80</v>
      </c>
      <c r="E205" s="42">
        <f t="shared" si="3"/>
        <v>0.23076923076923078</v>
      </c>
    </row>
    <row r="206" spans="1:5">
      <c r="A206" t="s">
        <v>127</v>
      </c>
      <c r="B206" t="s">
        <v>10</v>
      </c>
      <c r="C206">
        <v>50</v>
      </c>
      <c r="D206">
        <v>60</v>
      </c>
      <c r="E206" s="42">
        <f t="shared" si="3"/>
        <v>0.2</v>
      </c>
    </row>
    <row r="207" spans="1:5">
      <c r="B207" t="s">
        <v>12</v>
      </c>
      <c r="C207">
        <v>110</v>
      </c>
      <c r="D207">
        <v>110</v>
      </c>
      <c r="E207" s="42">
        <f t="shared" si="3"/>
        <v>0</v>
      </c>
    </row>
    <row r="208" spans="1:5">
      <c r="B208" t="s">
        <v>13</v>
      </c>
      <c r="C208">
        <v>80</v>
      </c>
      <c r="D208">
        <v>90</v>
      </c>
      <c r="E208" s="42">
        <f t="shared" si="3"/>
        <v>0.125</v>
      </c>
    </row>
    <row r="209" spans="1:5">
      <c r="A209" t="s">
        <v>128</v>
      </c>
      <c r="B209" t="s">
        <v>10</v>
      </c>
      <c r="C209">
        <v>40</v>
      </c>
      <c r="E209" s="42">
        <f t="shared" si="3"/>
        <v>-1</v>
      </c>
    </row>
    <row r="210" spans="1:5">
      <c r="B210" t="s">
        <v>12</v>
      </c>
      <c r="C210">
        <v>95</v>
      </c>
      <c r="E210" s="42">
        <f t="shared" si="3"/>
        <v>-1</v>
      </c>
    </row>
    <row r="211" spans="1:5">
      <c r="B211" t="s">
        <v>13</v>
      </c>
      <c r="C211">
        <v>50</v>
      </c>
      <c r="E211" s="42">
        <f t="shared" si="3"/>
        <v>-1</v>
      </c>
    </row>
    <row r="212" spans="1:5">
      <c r="A212" t="s">
        <v>129</v>
      </c>
      <c r="B212" t="s">
        <v>10</v>
      </c>
      <c r="C212">
        <v>60</v>
      </c>
      <c r="E212" s="42">
        <f t="shared" si="3"/>
        <v>-1</v>
      </c>
    </row>
    <row r="213" spans="1:5">
      <c r="B213" t="s">
        <v>12</v>
      </c>
      <c r="C213">
        <v>100</v>
      </c>
      <c r="E213" s="42">
        <f t="shared" si="3"/>
        <v>-1</v>
      </c>
    </row>
    <row r="214" spans="1:5">
      <c r="B214" t="s">
        <v>13</v>
      </c>
      <c r="E214" s="42" t="e">
        <f t="shared" si="3"/>
        <v>#DIV/0!</v>
      </c>
    </row>
    <row r="215" spans="1:5">
      <c r="A215" t="s">
        <v>130</v>
      </c>
      <c r="B215" t="s">
        <v>10</v>
      </c>
      <c r="C215">
        <v>80</v>
      </c>
      <c r="D215">
        <v>85</v>
      </c>
      <c r="E215" s="42">
        <f t="shared" si="3"/>
        <v>6.25E-2</v>
      </c>
    </row>
    <row r="216" spans="1:5">
      <c r="B216" t="s">
        <v>12</v>
      </c>
      <c r="C216">
        <v>130</v>
      </c>
      <c r="D216">
        <v>130</v>
      </c>
      <c r="E216" s="42">
        <f t="shared" si="3"/>
        <v>0</v>
      </c>
    </row>
    <row r="217" spans="1:5">
      <c r="B217" t="s">
        <v>13</v>
      </c>
      <c r="D217">
        <v>100</v>
      </c>
      <c r="E217" s="42" t="e">
        <f t="shared" si="3"/>
        <v>#DIV/0!</v>
      </c>
    </row>
    <row r="218" spans="1:5">
      <c r="A218" t="s">
        <v>131</v>
      </c>
      <c r="B218" t="s">
        <v>10</v>
      </c>
      <c r="C218">
        <v>77.5</v>
      </c>
      <c r="D218">
        <v>85.67</v>
      </c>
      <c r="E218" s="42">
        <f t="shared" si="3"/>
        <v>0.10541935483870971</v>
      </c>
    </row>
    <row r="219" spans="1:5">
      <c r="B219" t="s">
        <v>12</v>
      </c>
      <c r="C219">
        <v>120</v>
      </c>
      <c r="D219">
        <v>130</v>
      </c>
      <c r="E219" s="42">
        <f t="shared" si="3"/>
        <v>8.3333333333333329E-2</v>
      </c>
    </row>
    <row r="220" spans="1:5">
      <c r="B220" t="s">
        <v>13</v>
      </c>
      <c r="C220">
        <v>105</v>
      </c>
      <c r="D220">
        <v>105</v>
      </c>
      <c r="E220" s="42">
        <f t="shared" si="3"/>
        <v>0</v>
      </c>
    </row>
    <row r="221" spans="1:5">
      <c r="A221" t="s">
        <v>132</v>
      </c>
      <c r="B221" t="s">
        <v>10</v>
      </c>
      <c r="C221">
        <v>40</v>
      </c>
      <c r="E221" s="42">
        <f t="shared" si="3"/>
        <v>-1</v>
      </c>
    </row>
    <row r="222" spans="1:5">
      <c r="B222" t="s">
        <v>12</v>
      </c>
      <c r="C222">
        <v>65</v>
      </c>
      <c r="E222" s="42">
        <f t="shared" si="3"/>
        <v>-1</v>
      </c>
    </row>
    <row r="223" spans="1:5">
      <c r="B223" t="s">
        <v>13</v>
      </c>
      <c r="C223">
        <v>70</v>
      </c>
      <c r="E223" s="42">
        <f t="shared" si="3"/>
        <v>-1</v>
      </c>
    </row>
    <row r="224" spans="1:5">
      <c r="A224" t="s">
        <v>133</v>
      </c>
      <c r="B224" t="s">
        <v>10</v>
      </c>
      <c r="C224">
        <v>90</v>
      </c>
      <c r="D224">
        <v>85</v>
      </c>
      <c r="E224" s="42">
        <f t="shared" si="3"/>
        <v>-5.5555555555555552E-2</v>
      </c>
    </row>
    <row r="225" spans="1:5">
      <c r="B225" t="s">
        <v>12</v>
      </c>
      <c r="C225">
        <v>120</v>
      </c>
      <c r="D225">
        <v>135</v>
      </c>
      <c r="E225" s="42">
        <f t="shared" si="3"/>
        <v>0.125</v>
      </c>
    </row>
    <row r="226" spans="1:5">
      <c r="B226" t="s">
        <v>13</v>
      </c>
      <c r="C226">
        <v>90</v>
      </c>
      <c r="D226">
        <v>105</v>
      </c>
      <c r="E226" s="42">
        <f t="shared" si="3"/>
        <v>0.16666666666666666</v>
      </c>
    </row>
    <row r="227" spans="1:5">
      <c r="A227" t="s">
        <v>134</v>
      </c>
      <c r="B227" t="s">
        <v>10</v>
      </c>
      <c r="E227" s="42" t="e">
        <f t="shared" si="3"/>
        <v>#DIV/0!</v>
      </c>
    </row>
    <row r="228" spans="1:5">
      <c r="B228" t="s">
        <v>12</v>
      </c>
      <c r="E228" s="42" t="e">
        <f t="shared" si="3"/>
        <v>#DIV/0!</v>
      </c>
    </row>
    <row r="229" spans="1:5">
      <c r="B229" t="s">
        <v>13</v>
      </c>
      <c r="C229">
        <v>40</v>
      </c>
      <c r="E229" s="42">
        <f t="shared" si="3"/>
        <v>-1</v>
      </c>
    </row>
    <row r="230" spans="1:5">
      <c r="A230" t="s">
        <v>135</v>
      </c>
      <c r="B230" t="s">
        <v>10</v>
      </c>
      <c r="C230">
        <v>45</v>
      </c>
      <c r="D230">
        <v>47.5</v>
      </c>
      <c r="E230" s="42">
        <f t="shared" si="3"/>
        <v>5.5555555555555552E-2</v>
      </c>
    </row>
    <row r="231" spans="1:5">
      <c r="B231" t="s">
        <v>12</v>
      </c>
      <c r="C231">
        <v>80</v>
      </c>
      <c r="D231">
        <v>100</v>
      </c>
      <c r="E231" s="42">
        <f t="shared" si="3"/>
        <v>0.25</v>
      </c>
    </row>
    <row r="232" spans="1:5">
      <c r="B232" t="s">
        <v>13</v>
      </c>
      <c r="C232">
        <v>70</v>
      </c>
      <c r="D232">
        <v>115</v>
      </c>
      <c r="E232" s="42">
        <f t="shared" si="3"/>
        <v>0.6428571428571429</v>
      </c>
    </row>
    <row r="233" spans="1:5">
      <c r="A233" t="s">
        <v>136</v>
      </c>
      <c r="B233" t="s">
        <v>10</v>
      </c>
      <c r="C233">
        <v>60</v>
      </c>
      <c r="D233">
        <v>65</v>
      </c>
      <c r="E233" s="42">
        <f t="shared" si="3"/>
        <v>8.3333333333333329E-2</v>
      </c>
    </row>
    <row r="234" spans="1:5">
      <c r="B234" t="s">
        <v>12</v>
      </c>
      <c r="C234">
        <v>100</v>
      </c>
      <c r="D234">
        <v>110</v>
      </c>
      <c r="E234" s="42">
        <f t="shared" si="3"/>
        <v>0.1</v>
      </c>
    </row>
    <row r="235" spans="1:5">
      <c r="B235" t="s">
        <v>13</v>
      </c>
      <c r="C235">
        <v>100</v>
      </c>
      <c r="D235">
        <v>127.5</v>
      </c>
      <c r="E235" s="42">
        <f t="shared" si="3"/>
        <v>0.27500000000000002</v>
      </c>
    </row>
    <row r="236" spans="1:5">
      <c r="A236" t="s">
        <v>137</v>
      </c>
      <c r="B236" t="s">
        <v>10</v>
      </c>
      <c r="C236">
        <v>55</v>
      </c>
      <c r="D236">
        <v>55</v>
      </c>
      <c r="E236" s="42">
        <f t="shared" si="3"/>
        <v>0</v>
      </c>
    </row>
    <row r="237" spans="1:5">
      <c r="B237" t="s">
        <v>12</v>
      </c>
      <c r="C237">
        <v>80</v>
      </c>
      <c r="D237">
        <v>95</v>
      </c>
      <c r="E237" s="42">
        <f t="shared" si="3"/>
        <v>0.1875</v>
      </c>
    </row>
    <row r="238" spans="1:5">
      <c r="B238" t="s">
        <v>13</v>
      </c>
      <c r="C238">
        <v>60</v>
      </c>
      <c r="D238">
        <v>70</v>
      </c>
      <c r="E238" s="42">
        <f t="shared" si="3"/>
        <v>0.16666666666666666</v>
      </c>
    </row>
    <row r="239" spans="1:5">
      <c r="A239" t="s">
        <v>138</v>
      </c>
      <c r="B239" t="s">
        <v>10</v>
      </c>
      <c r="D239">
        <v>35</v>
      </c>
      <c r="E239" s="42" t="e">
        <f t="shared" si="3"/>
        <v>#DIV/0!</v>
      </c>
    </row>
    <row r="240" spans="1:5">
      <c r="B240" t="s">
        <v>12</v>
      </c>
      <c r="C240">
        <v>0</v>
      </c>
      <c r="D240">
        <v>80</v>
      </c>
      <c r="E240" s="42" t="e">
        <f t="shared" si="3"/>
        <v>#DIV/0!</v>
      </c>
    </row>
    <row r="241" spans="1:5">
      <c r="B241" t="s">
        <v>13</v>
      </c>
      <c r="C241">
        <v>40</v>
      </c>
      <c r="D241">
        <v>70</v>
      </c>
      <c r="E241" s="42">
        <f t="shared" si="3"/>
        <v>0.75</v>
      </c>
    </row>
    <row r="242" spans="1:5">
      <c r="A242" t="s">
        <v>139</v>
      </c>
      <c r="B242" t="s">
        <v>10</v>
      </c>
      <c r="C242">
        <v>50</v>
      </c>
      <c r="D242">
        <v>68</v>
      </c>
      <c r="E242" s="42">
        <f t="shared" si="3"/>
        <v>0.36</v>
      </c>
    </row>
    <row r="243" spans="1:5">
      <c r="B243" t="s">
        <v>12</v>
      </c>
      <c r="C243">
        <v>100</v>
      </c>
      <c r="D243">
        <v>100</v>
      </c>
      <c r="E243" s="42">
        <f t="shared" si="3"/>
        <v>0</v>
      </c>
    </row>
    <row r="244" spans="1:5">
      <c r="B244" t="s">
        <v>13</v>
      </c>
      <c r="C244">
        <v>80</v>
      </c>
      <c r="D244">
        <v>105</v>
      </c>
      <c r="E244" s="42">
        <f t="shared" si="3"/>
        <v>0.3125</v>
      </c>
    </row>
    <row r="245" spans="1:5">
      <c r="A245" t="s">
        <v>23</v>
      </c>
      <c r="B245" t="s">
        <v>10</v>
      </c>
      <c r="C245">
        <v>60</v>
      </c>
      <c r="D245">
        <v>67.5</v>
      </c>
      <c r="E245" s="42">
        <f t="shared" si="3"/>
        <v>0.125</v>
      </c>
    </row>
    <row r="246" spans="1:5">
      <c r="B246" t="s">
        <v>12</v>
      </c>
      <c r="C246">
        <v>105</v>
      </c>
      <c r="D246">
        <v>110</v>
      </c>
      <c r="E246" s="42">
        <f t="shared" si="3"/>
        <v>4.7619047619047616E-2</v>
      </c>
    </row>
    <row r="247" spans="1:5">
      <c r="B247" t="s">
        <v>13</v>
      </c>
      <c r="C247">
        <v>90</v>
      </c>
      <c r="D247">
        <v>100</v>
      </c>
      <c r="E247" s="42">
        <f t="shared" si="3"/>
        <v>0.1111111111111111</v>
      </c>
    </row>
    <row r="248" spans="1:5">
      <c r="A248" t="s">
        <v>140</v>
      </c>
      <c r="B248" t="s">
        <v>10</v>
      </c>
      <c r="C248">
        <v>55</v>
      </c>
      <c r="D248">
        <v>65</v>
      </c>
      <c r="E248" s="42">
        <f t="shared" si="3"/>
        <v>0.18181818181818182</v>
      </c>
    </row>
    <row r="249" spans="1:5">
      <c r="B249" t="s">
        <v>12</v>
      </c>
      <c r="C249">
        <v>100</v>
      </c>
      <c r="D249">
        <v>120</v>
      </c>
      <c r="E249" s="42">
        <f t="shared" si="3"/>
        <v>0.2</v>
      </c>
    </row>
    <row r="250" spans="1:5">
      <c r="B250" t="s">
        <v>13</v>
      </c>
      <c r="C250">
        <v>112.5</v>
      </c>
      <c r="D250">
        <v>115</v>
      </c>
      <c r="E250" s="42">
        <f t="shared" si="3"/>
        <v>2.2222222222222223E-2</v>
      </c>
    </row>
    <row r="251" spans="1:5">
      <c r="A251" t="s">
        <v>141</v>
      </c>
      <c r="B251" t="s">
        <v>10</v>
      </c>
      <c r="C251">
        <v>40</v>
      </c>
      <c r="E251" s="42">
        <f t="shared" si="3"/>
        <v>-1</v>
      </c>
    </row>
    <row r="252" spans="1:5">
      <c r="B252" t="s">
        <v>12</v>
      </c>
      <c r="C252">
        <v>90</v>
      </c>
      <c r="E252" s="42">
        <f t="shared" si="3"/>
        <v>-1</v>
      </c>
    </row>
    <row r="253" spans="1:5">
      <c r="B253" t="s">
        <v>13</v>
      </c>
      <c r="C253">
        <v>80</v>
      </c>
      <c r="E253" s="42">
        <f t="shared" si="3"/>
        <v>-1</v>
      </c>
    </row>
    <row r="254" spans="1:5">
      <c r="A254" t="s">
        <v>142</v>
      </c>
      <c r="B254" t="s">
        <v>10</v>
      </c>
      <c r="C254">
        <v>55</v>
      </c>
      <c r="D254">
        <v>67.5</v>
      </c>
      <c r="E254" s="42">
        <f t="shared" si="3"/>
        <v>0.22727272727272727</v>
      </c>
    </row>
    <row r="255" spans="1:5">
      <c r="B255" t="s">
        <v>12</v>
      </c>
      <c r="C255">
        <v>70</v>
      </c>
      <c r="D255">
        <v>75</v>
      </c>
      <c r="E255" s="42">
        <f t="shared" ref="E255:E263" si="4">(D255-C255)/C255</f>
        <v>7.1428571428571425E-2</v>
      </c>
    </row>
    <row r="256" spans="1:5">
      <c r="B256" t="s">
        <v>13</v>
      </c>
      <c r="C256">
        <v>65</v>
      </c>
      <c r="D256">
        <v>80</v>
      </c>
      <c r="E256" s="42">
        <f t="shared" si="4"/>
        <v>0.23076923076923078</v>
      </c>
    </row>
    <row r="257" spans="1:5">
      <c r="A257" t="s">
        <v>143</v>
      </c>
      <c r="B257" t="s">
        <v>10</v>
      </c>
      <c r="C257">
        <v>60</v>
      </c>
      <c r="D257">
        <v>65</v>
      </c>
      <c r="E257" s="42">
        <f t="shared" si="4"/>
        <v>8.3333333333333329E-2</v>
      </c>
    </row>
    <row r="258" spans="1:5">
      <c r="B258" t="s">
        <v>12</v>
      </c>
      <c r="C258">
        <v>75</v>
      </c>
      <c r="D258">
        <v>95</v>
      </c>
      <c r="E258" s="42">
        <f t="shared" si="4"/>
        <v>0.26666666666666666</v>
      </c>
    </row>
    <row r="259" spans="1:5">
      <c r="B259" t="s">
        <v>13</v>
      </c>
      <c r="C259">
        <v>70</v>
      </c>
      <c r="D259">
        <v>100</v>
      </c>
      <c r="E259" s="42">
        <f t="shared" si="4"/>
        <v>0.42857142857142855</v>
      </c>
    </row>
    <row r="260" spans="1:5">
      <c r="A260" t="s">
        <v>73</v>
      </c>
      <c r="B260" t="s">
        <v>10</v>
      </c>
      <c r="E260" s="42" t="e">
        <f t="shared" si="4"/>
        <v>#DIV/0!</v>
      </c>
    </row>
    <row r="261" spans="1:5">
      <c r="B261" t="s">
        <v>12</v>
      </c>
      <c r="C261">
        <v>100</v>
      </c>
      <c r="E261" s="42">
        <f t="shared" si="4"/>
        <v>-1</v>
      </c>
    </row>
    <row r="262" spans="1:5">
      <c r="B262" t="s">
        <v>13</v>
      </c>
      <c r="C262">
        <v>80</v>
      </c>
      <c r="E262" s="42">
        <f t="shared" si="4"/>
        <v>-1</v>
      </c>
    </row>
    <row r="263" spans="1:5">
      <c r="B263" t="s">
        <v>10</v>
      </c>
      <c r="C263">
        <v>60</v>
      </c>
      <c r="E263" s="42">
        <f t="shared" si="4"/>
        <v>-1</v>
      </c>
    </row>
    <row r="264" spans="1:5">
      <c r="B264" t="s">
        <v>12</v>
      </c>
    </row>
    <row r="265" spans="1:5">
      <c r="B265" t="s">
        <v>13</v>
      </c>
    </row>
    <row r="266" spans="1:5">
      <c r="B266" t="s">
        <v>10</v>
      </c>
    </row>
    <row r="267" spans="1:5">
      <c r="B267" t="s">
        <v>12</v>
      </c>
    </row>
    <row r="268" spans="1:5">
      <c r="B268" t="s">
        <v>13</v>
      </c>
    </row>
    <row r="269" spans="1:5">
      <c r="B269" t="s">
        <v>10</v>
      </c>
    </row>
    <row r="270" spans="1:5">
      <c r="B270" t="s">
        <v>12</v>
      </c>
    </row>
    <row r="271" spans="1:5">
      <c r="B27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3BEE-43E2-4E86-9C99-355E6AFDD261}">
  <dimension ref="A1:K55"/>
  <sheetViews>
    <sheetView topLeftCell="A22" workbookViewId="0">
      <selection activeCell="A35" sqref="A35"/>
    </sheetView>
  </sheetViews>
  <sheetFormatPr defaultRowHeight="15"/>
  <cols>
    <col min="1" max="1" width="22.28515625" bestFit="1" customWidth="1"/>
  </cols>
  <sheetData>
    <row r="1" spans="1:11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4</v>
      </c>
      <c r="J1" s="2" t="s">
        <v>7</v>
      </c>
      <c r="K1" t="s">
        <v>8</v>
      </c>
    </row>
    <row r="2" spans="1:11">
      <c r="A2" t="s">
        <v>144</v>
      </c>
      <c r="B2" t="s">
        <v>10</v>
      </c>
      <c r="C2">
        <v>67.5</v>
      </c>
    </row>
    <row r="3" spans="1:11">
      <c r="B3" t="s">
        <v>12</v>
      </c>
      <c r="C3">
        <v>135</v>
      </c>
    </row>
    <row r="4" spans="1:11">
      <c r="B4" t="s">
        <v>13</v>
      </c>
      <c r="C4">
        <v>145</v>
      </c>
    </row>
    <row r="5" spans="1:11">
      <c r="A5" t="s">
        <v>145</v>
      </c>
      <c r="B5" t="s">
        <v>10</v>
      </c>
      <c r="C5">
        <v>80</v>
      </c>
    </row>
    <row r="6" spans="1:11">
      <c r="B6" t="s">
        <v>12</v>
      </c>
      <c r="C6">
        <v>150</v>
      </c>
    </row>
    <row r="7" spans="1:11">
      <c r="B7" t="s">
        <v>13</v>
      </c>
      <c r="C7">
        <v>110</v>
      </c>
    </row>
    <row r="8" spans="1:11">
      <c r="A8" t="s">
        <v>146</v>
      </c>
      <c r="B8" t="s">
        <v>10</v>
      </c>
      <c r="C8">
        <v>72.5</v>
      </c>
    </row>
    <row r="9" spans="1:11">
      <c r="B9" t="s">
        <v>12</v>
      </c>
      <c r="C9">
        <v>130</v>
      </c>
    </row>
    <row r="10" spans="1:11">
      <c r="B10" t="s">
        <v>13</v>
      </c>
      <c r="C10">
        <v>110</v>
      </c>
    </row>
    <row r="11" spans="1:11">
      <c r="A11" t="s">
        <v>147</v>
      </c>
      <c r="B11" t="s">
        <v>10</v>
      </c>
      <c r="C11">
        <v>120</v>
      </c>
    </row>
    <row r="12" spans="1:11">
      <c r="B12" t="s">
        <v>12</v>
      </c>
      <c r="C12">
        <v>75</v>
      </c>
    </row>
    <row r="13" spans="1:11">
      <c r="B13" t="s">
        <v>13</v>
      </c>
      <c r="C13">
        <v>110</v>
      </c>
    </row>
    <row r="14" spans="1:11">
      <c r="A14" t="s">
        <v>148</v>
      </c>
      <c r="B14" t="s">
        <v>10</v>
      </c>
      <c r="C14">
        <v>87.5</v>
      </c>
    </row>
    <row r="15" spans="1:11">
      <c r="B15" t="s">
        <v>12</v>
      </c>
      <c r="C15">
        <v>140</v>
      </c>
    </row>
    <row r="16" spans="1:11">
      <c r="B16" t="s">
        <v>13</v>
      </c>
      <c r="C16">
        <v>110</v>
      </c>
    </row>
    <row r="17" spans="1:3">
      <c r="A17" t="s">
        <v>149</v>
      </c>
      <c r="B17" t="s">
        <v>10</v>
      </c>
      <c r="C17">
        <v>90</v>
      </c>
    </row>
    <row r="18" spans="1:3">
      <c r="B18" t="s">
        <v>12</v>
      </c>
      <c r="C18">
        <v>140</v>
      </c>
    </row>
    <row r="19" spans="1:3">
      <c r="B19" t="s">
        <v>13</v>
      </c>
      <c r="C19">
        <v>110</v>
      </c>
    </row>
    <row r="20" spans="1:3">
      <c r="A20" t="s">
        <v>150</v>
      </c>
      <c r="B20" t="s">
        <v>10</v>
      </c>
      <c r="C20">
        <v>80</v>
      </c>
    </row>
    <row r="21" spans="1:3">
      <c r="B21" t="s">
        <v>12</v>
      </c>
      <c r="C21">
        <v>110</v>
      </c>
    </row>
    <row r="22" spans="1:3">
      <c r="B22" t="s">
        <v>13</v>
      </c>
      <c r="C22">
        <v>120</v>
      </c>
    </row>
    <row r="23" spans="1:3">
      <c r="A23" t="s">
        <v>151</v>
      </c>
      <c r="B23" t="s">
        <v>10</v>
      </c>
      <c r="C23">
        <v>100</v>
      </c>
    </row>
    <row r="24" spans="1:3">
      <c r="B24" t="s">
        <v>12</v>
      </c>
      <c r="C24">
        <v>70</v>
      </c>
    </row>
    <row r="25" spans="1:3">
      <c r="B25" t="s">
        <v>13</v>
      </c>
      <c r="C25">
        <v>95</v>
      </c>
    </row>
    <row r="26" spans="1:3">
      <c r="A26" t="s">
        <v>152</v>
      </c>
      <c r="B26" t="s">
        <v>10</v>
      </c>
      <c r="C26">
        <v>92.5</v>
      </c>
    </row>
    <row r="27" spans="1:3">
      <c r="B27" t="s">
        <v>12</v>
      </c>
      <c r="C27">
        <v>112.5</v>
      </c>
    </row>
    <row r="28" spans="1:3">
      <c r="B28" t="s">
        <v>13</v>
      </c>
      <c r="C28">
        <v>112.5</v>
      </c>
    </row>
    <row r="29" spans="1:3">
      <c r="A29" t="s">
        <v>153</v>
      </c>
      <c r="B29" t="s">
        <v>10</v>
      </c>
      <c r="C29">
        <v>70</v>
      </c>
    </row>
    <row r="30" spans="1:3">
      <c r="B30" t="s">
        <v>12</v>
      </c>
      <c r="C30">
        <v>85</v>
      </c>
    </row>
    <row r="31" spans="1:3">
      <c r="B31" t="s">
        <v>13</v>
      </c>
      <c r="C31">
        <v>95</v>
      </c>
    </row>
    <row r="32" spans="1:3">
      <c r="A32" t="s">
        <v>154</v>
      </c>
      <c r="B32" t="s">
        <v>10</v>
      </c>
      <c r="C32">
        <v>55</v>
      </c>
    </row>
    <row r="33" spans="2:3">
      <c r="B33" t="s">
        <v>12</v>
      </c>
      <c r="C33">
        <v>85</v>
      </c>
    </row>
    <row r="34" spans="2:3">
      <c r="B34" t="s">
        <v>13</v>
      </c>
      <c r="C34">
        <v>90</v>
      </c>
    </row>
    <row r="35" spans="2:3">
      <c r="B35" t="s">
        <v>10</v>
      </c>
    </row>
    <row r="36" spans="2:3">
      <c r="B36" t="s">
        <v>12</v>
      </c>
    </row>
    <row r="37" spans="2:3">
      <c r="B37" t="s">
        <v>13</v>
      </c>
    </row>
    <row r="38" spans="2:3">
      <c r="B38" t="s">
        <v>10</v>
      </c>
    </row>
    <row r="39" spans="2:3">
      <c r="B39" t="s">
        <v>12</v>
      </c>
    </row>
    <row r="40" spans="2:3">
      <c r="B40" t="s">
        <v>13</v>
      </c>
    </row>
    <row r="41" spans="2:3">
      <c r="B41" t="s">
        <v>10</v>
      </c>
    </row>
    <row r="42" spans="2:3">
      <c r="B42" t="s">
        <v>12</v>
      </c>
    </row>
    <row r="43" spans="2:3">
      <c r="B43" t="s">
        <v>13</v>
      </c>
    </row>
    <row r="44" spans="2:3">
      <c r="B44" t="s">
        <v>10</v>
      </c>
    </row>
    <row r="45" spans="2:3">
      <c r="B45" t="s">
        <v>12</v>
      </c>
    </row>
    <row r="46" spans="2:3">
      <c r="B46" t="s">
        <v>13</v>
      </c>
    </row>
    <row r="47" spans="2:3">
      <c r="B47" t="s">
        <v>10</v>
      </c>
    </row>
    <row r="48" spans="2:3">
      <c r="B48" t="s">
        <v>12</v>
      </c>
    </row>
    <row r="49" spans="2:2">
      <c r="B49" t="s">
        <v>13</v>
      </c>
    </row>
    <row r="50" spans="2:2">
      <c r="B50" t="s">
        <v>10</v>
      </c>
    </row>
    <row r="51" spans="2:2">
      <c r="B51" t="s">
        <v>12</v>
      </c>
    </row>
    <row r="52" spans="2:2">
      <c r="B52" t="s">
        <v>13</v>
      </c>
    </row>
    <row r="53" spans="2:2">
      <c r="B53" t="s">
        <v>10</v>
      </c>
    </row>
    <row r="54" spans="2:2">
      <c r="B54" t="s">
        <v>12</v>
      </c>
    </row>
    <row r="55" spans="2:2">
      <c r="B5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Flemming Bjerregaard UNG-Ungdomsskolen</dc:creator>
  <cp:keywords/>
  <dc:description/>
  <cp:lastModifiedBy/>
  <cp:revision/>
  <dcterms:created xsi:type="dcterms:W3CDTF">2015-06-05T18:19:34Z</dcterms:created>
  <dcterms:modified xsi:type="dcterms:W3CDTF">2025-12-07T09:18:01Z</dcterms:modified>
  <cp:category/>
  <cp:contentStatus/>
</cp:coreProperties>
</file>